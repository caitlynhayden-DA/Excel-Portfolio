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32fd52541e2dac7/Documents/@PORTFOLIO/EXCEL/T^0W Dashboard/"/>
    </mc:Choice>
  </mc:AlternateContent>
  <xr:revisionPtr revIDLastSave="3092" documentId="13_ncr:1_{979C79F5-FAE8-40DA-A8C8-37DF32D66565}" xr6:coauthVersionLast="47" xr6:coauthVersionMax="47" xr10:uidLastSave="{C5434C5C-7DE3-40B9-86DA-6AE9FA91901D}"/>
  <bookViews>
    <workbookView xWindow="28680" yWindow="-120" windowWidth="29040" windowHeight="15720" xr2:uid="{00000000-000D-0000-FFFF-FFFF00000000}"/>
  </bookViews>
  <sheets>
    <sheet name="Dashboard" sheetId="10" r:id="rId1"/>
    <sheet name="Training Tracker" sheetId="11" r:id="rId2"/>
    <sheet name="Training Overview" sheetId="1" r:id="rId3"/>
    <sheet name="Systems Access" sheetId="2" r:id="rId4"/>
    <sheet name="Day One" sheetId="3" r:id="rId5"/>
    <sheet name="Day Two" sheetId="4" r:id="rId6"/>
    <sheet name="Day Three" sheetId="5" r:id="rId7"/>
    <sheet name="Day Four" sheetId="6" r:id="rId8"/>
    <sheet name="Day Five" sheetId="7" r:id="rId9"/>
    <sheet name="Day Six" sheetId="9" r:id="rId10"/>
  </sheets>
  <definedNames>
    <definedName name="_xlnm.Print_Area" localSheetId="0">Dashboard!$A$1:$W$45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10" l="1"/>
  <c r="M29" i="10" s="1"/>
  <c r="Z43" i="10"/>
  <c r="G31" i="10" s="1"/>
  <c r="Z38" i="10"/>
  <c r="G33" i="10" s="1"/>
  <c r="G29" i="10"/>
  <c r="Z40" i="10"/>
  <c r="Z39" i="10"/>
  <c r="Z37" i="10"/>
  <c r="C30" i="10" a="1"/>
  <c r="C30" i="10" s="1"/>
  <c r="C31" i="10" a="1"/>
  <c r="C31" i="10" s="1"/>
  <c r="C32" i="10" a="1"/>
  <c r="C32" i="10" s="1"/>
  <c r="C33" i="10" a="1"/>
  <c r="C33" i="10" s="1"/>
  <c r="C29" i="10" a="1"/>
  <c r="C29" i="10" s="1"/>
  <c r="E30" i="10" a="1"/>
  <c r="E30" i="10" s="1"/>
  <c r="E31" i="10" a="1"/>
  <c r="E31" i="10" s="1"/>
  <c r="E32" i="10" a="1"/>
  <c r="E32" i="10" s="1"/>
  <c r="E33" i="10" a="1"/>
  <c r="E33" i="10" s="1"/>
  <c r="E29" i="10" a="1"/>
  <c r="E29" i="10" s="1"/>
  <c r="A30" i="10" a="1"/>
  <c r="A30" i="10" s="1"/>
  <c r="A31" i="10" a="1"/>
  <c r="A31" i="10" s="1"/>
  <c r="A32" i="10" a="1"/>
  <c r="A32" i="10" s="1"/>
  <c r="A33" i="10" a="1"/>
  <c r="A33" i="10" s="1"/>
  <c r="A29" i="10" a="1"/>
  <c r="A29" i="10" s="1"/>
  <c r="G24" i="10" a="1"/>
  <c r="G24" i="10" s="1"/>
  <c r="G23" i="10" a="1"/>
  <c r="G23" i="10" s="1"/>
  <c r="G22" i="10" a="1"/>
  <c r="G22" i="10" s="1"/>
  <c r="G21" i="10" a="1"/>
  <c r="G21" i="10" s="1"/>
  <c r="G20" i="10" a="1"/>
  <c r="G20" i="10" s="1"/>
  <c r="G19" i="10" a="1"/>
  <c r="G19" i="10" s="1"/>
  <c r="G18" i="10" a="1"/>
  <c r="G18" i="10" s="1"/>
  <c r="G17" i="10" a="1"/>
  <c r="G17" i="10" s="1"/>
  <c r="G16" i="10" a="1"/>
  <c r="G16" i="10" s="1"/>
  <c r="G15" i="10" a="1"/>
  <c r="G15" i="10" s="1"/>
  <c r="G14" i="10" a="1"/>
  <c r="G14" i="10" s="1"/>
  <c r="G13" i="10" a="1"/>
  <c r="G13" i="10" s="1"/>
  <c r="E24" i="10" a="1"/>
  <c r="E24" i="10" s="1"/>
  <c r="E14" i="10" a="1"/>
  <c r="E14" i="10" s="1"/>
  <c r="E15" i="10" a="1"/>
  <c r="E15" i="10" s="1"/>
  <c r="E16" i="10" a="1"/>
  <c r="E16" i="10" s="1"/>
  <c r="E17" i="10" a="1"/>
  <c r="E17" i="10" s="1"/>
  <c r="E18" i="10" a="1"/>
  <c r="E18" i="10" s="1"/>
  <c r="E19" i="10" a="1"/>
  <c r="E19" i="10" s="1"/>
  <c r="E20" i="10" a="1"/>
  <c r="E20" i="10" s="1"/>
  <c r="E21" i="10" a="1"/>
  <c r="E21" i="10" s="1"/>
  <c r="E22" i="10" a="1"/>
  <c r="E22" i="10" s="1"/>
  <c r="E23" i="10" a="1"/>
  <c r="E2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A14" i="10" a="1"/>
  <c r="A14" i="10" s="1"/>
  <c r="A15" i="10" a="1"/>
  <c r="A15" i="10" s="1"/>
  <c r="A16" i="10" a="1"/>
  <c r="A16" i="10" s="1"/>
  <c r="A17" i="10" a="1"/>
  <c r="A17" i="10" s="1"/>
  <c r="A18" i="10" a="1"/>
  <c r="A18" i="10" s="1"/>
  <c r="A19" i="10" a="1"/>
  <c r="A19" i="10" s="1"/>
  <c r="A20" i="10" a="1"/>
  <c r="A20" i="10" s="1"/>
  <c r="A21" i="10" a="1"/>
  <c r="A21" i="10" s="1"/>
  <c r="A22" i="10" a="1"/>
  <c r="A22" i="10" s="1"/>
  <c r="A23" i="10" a="1"/>
  <c r="A23" i="10" s="1"/>
  <c r="A24" i="10" a="1"/>
  <c r="A24" i="10" s="1"/>
  <c r="A13" i="10" a="1"/>
  <c r="A13" i="10" s="1"/>
  <c r="E13" i="10" a="1"/>
  <c r="E13" i="10" s="1"/>
  <c r="C13" i="10" a="1"/>
  <c r="C13" i="10" s="1"/>
  <c r="W42" i="10"/>
  <c r="W41" i="10"/>
  <c r="W40" i="10"/>
  <c r="W39" i="10"/>
  <c r="W38" i="10"/>
  <c r="W37" i="10"/>
  <c r="A5" i="10"/>
  <c r="M7" i="10"/>
  <c r="J7" i="10"/>
  <c r="F7" i="1"/>
  <c r="F7" i="2"/>
  <c r="F7" i="10"/>
  <c r="D7" i="10"/>
  <c r="Z41" i="10" l="1"/>
  <c r="R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<sst xmlns="http://schemas.openxmlformats.org/spreadsheetml/2006/main" count="379" uniqueCount="227">
  <si>
    <t>Start Date</t>
  </si>
  <si>
    <t>Trainer</t>
  </si>
  <si>
    <t>Supervisor Name</t>
  </si>
  <si>
    <t>Supervisor Email</t>
  </si>
  <si>
    <t>Supervisor Phone</t>
  </si>
  <si>
    <t>Overall Training Status</t>
  </si>
  <si>
    <t>Notes</t>
  </si>
  <si>
    <t>Programs</t>
  </si>
  <si>
    <t>Yes</t>
  </si>
  <si>
    <t>No</t>
  </si>
  <si>
    <t>Primary Focus</t>
  </si>
  <si>
    <t>Key Learning Objectives</t>
  </si>
  <si>
    <t>Systems Used</t>
  </si>
  <si>
    <t>Observation Completed</t>
  </si>
  <si>
    <t>Supported Practice Completed</t>
  </si>
  <si>
    <t>Independent Task Completed</t>
  </si>
  <si>
    <t>Trainer Initials</t>
  </si>
  <si>
    <t>Weekly Progress – Day Three</t>
  </si>
  <si>
    <t>Weekly Progress – Day Four</t>
  </si>
  <si>
    <t>Weekly Progress – Day Five</t>
  </si>
  <si>
    <t>DRAWER NUMBER</t>
  </si>
  <si>
    <t>TOUR</t>
  </si>
  <si>
    <t>LAPTOP</t>
  </si>
  <si>
    <t>HEADSET</t>
  </si>
  <si>
    <t>EMAIL SIGNATURE</t>
  </si>
  <si>
    <t>TRAINEE &amp; TRAINOR CALL LISTEN/TAKE CALLS</t>
  </si>
  <si>
    <t xml:space="preserve">TRANSLATION SERVICES </t>
  </si>
  <si>
    <t>DAY ONE TO-DO</t>
  </si>
  <si>
    <t>TRAINEE PACKETS &amp; LETTERS</t>
  </si>
  <si>
    <t>CREATE TRAINEE FOLDER</t>
  </si>
  <si>
    <t>DAY FIVE TO-DO</t>
  </si>
  <si>
    <t>DAY FOUR TO-DO</t>
  </si>
  <si>
    <t>DAY THREE TO-DO</t>
  </si>
  <si>
    <t>DAY TWO TO-DO</t>
  </si>
  <si>
    <t>WITHIN TRAINEE PACKETS &amp; LETTERS</t>
  </si>
  <si>
    <t>Check in with Trainee, any questions or concerns? Go over the Game Plan for the day</t>
  </si>
  <si>
    <t>IF TEAM MEMBER IS READY</t>
  </si>
  <si>
    <t>TRAINEE TAKE CALLS, TRAINOR NAVIGATE</t>
  </si>
  <si>
    <t>PROGRAM ACCESS CHECK</t>
  </si>
  <si>
    <t xml:space="preserve">If Team Member given new access today, they did not receive on D1, make sure they can access. </t>
  </si>
  <si>
    <t>HYBRID OR PERMANENT IN-OFFICE</t>
  </si>
  <si>
    <t>TRAINEE TAKE CALLS &amp; NAVIGATE</t>
  </si>
  <si>
    <t>If Team Member advanced, have them take a couple of calls and Navigate while trainer listens &amp; provides feedback</t>
  </si>
  <si>
    <t>EOD DEBRIEF</t>
  </si>
  <si>
    <t xml:space="preserve">If Team Member given new access today, they did not receive on D2, make sure they can access. </t>
  </si>
  <si>
    <t>TRAINEE PACKET &amp; LETTERS</t>
  </si>
  <si>
    <t>ESCALATION TEAMS FLOW SHEET</t>
  </si>
  <si>
    <t>MSC QUICK REFERENCE GUIDE</t>
  </si>
  <si>
    <t>Make sure to check in with Trainee after every call to ensure understanding</t>
  </si>
  <si>
    <t>FIRST CALL- GLYUE LOGIN</t>
  </si>
  <si>
    <t>Team Member using their own station, have them take a calls &amp; navigate while trainee listens and provides assistance/feedback</t>
  </si>
  <si>
    <t>After first call taken ensure team member can access Glyue Connector (see System Access sheet for instruction)</t>
  </si>
  <si>
    <t>RESOURCE FOCUS</t>
  </si>
  <si>
    <t>Team Member gets used to using Teams, Email, and Departments for assistance- trainer still hands on but allowing TM to familrize themselves</t>
  </si>
  <si>
    <t>Trainer still listens, but allows Team Member to truly navigate and use resources with minimal interference from trainer</t>
  </si>
  <si>
    <t>Team Member should have and be familiar with all system access</t>
  </si>
  <si>
    <t>Trainer is no longer hooked into laptop, but allows Team Member to truly navigate and use resources with minimal interference from trainer</t>
  </si>
  <si>
    <t>TRAINER REQUIRED</t>
  </si>
  <si>
    <t>FILL OUT PROGRESS REPORT</t>
  </si>
  <si>
    <t>OBSERVATIONAL FOCUS</t>
  </si>
  <si>
    <t>Trainee is observing to determine Team Member Readiness for release from training</t>
  </si>
  <si>
    <t>Make sure to check in with Trainee to see how they are feeling</t>
  </si>
  <si>
    <t>DAY SIX TO-DO</t>
  </si>
  <si>
    <t>Make sure to check in with Trainee throughout the day, providing feedback when necessary</t>
  </si>
  <si>
    <t>Program Access and Role Overview</t>
  </si>
  <si>
    <t>Observation, guided practice, and readiness assessment</t>
  </si>
  <si>
    <t>Review progress, address questions, and confirm trainee confidence.</t>
  </si>
  <si>
    <t>Day-in-the-Life Observation</t>
  </si>
  <si>
    <t>Per System Access Tracker</t>
  </si>
  <si>
    <t>Yes / No</t>
  </si>
  <si>
    <t>Check in with trainee to address questions and review the plan for the day.</t>
  </si>
  <si>
    <t>Guided Call Handling</t>
  </si>
  <si>
    <t>Independent Navigation with Support</t>
  </si>
  <si>
    <t>MSC Readiness and Resource Independence</t>
  </si>
  <si>
    <t>Readiness Assessment and Release Recommendation</t>
  </si>
  <si>
    <t>Release Criteria &amp; Readiness Determination</t>
  </si>
  <si>
    <t>A team member may be recommended for release from training when the following criteria are met:</t>
  </si>
  <si>
    <t>Release Determination Process:</t>
  </si>
  <si>
    <t>Extended Training – Not Ready for Release</t>
  </si>
  <si>
    <t>If a team member is not ready for independent work by the end of Day Six:</t>
  </si>
  <si>
    <t>Decision Authority:</t>
  </si>
  <si>
    <t>SYSTEM 1</t>
  </si>
  <si>
    <t>SYSTEM 2</t>
  </si>
  <si>
    <t>SYSTEM 3</t>
  </si>
  <si>
    <t>SYSTEM 4</t>
  </si>
  <si>
    <t>SYSTEM 5</t>
  </si>
  <si>
    <t>SYSTEM 6</t>
  </si>
  <si>
    <t>SYSTEM 7</t>
  </si>
  <si>
    <t>SYSTEM 8</t>
  </si>
  <si>
    <t>SYSTEM 10</t>
  </si>
  <si>
    <t>SYSTEM 11</t>
  </si>
  <si>
    <t>SYSTEM 12</t>
  </si>
  <si>
    <t>SYSTEM 13</t>
  </si>
  <si>
    <t>SYSTEM 14</t>
  </si>
  <si>
    <t>SYSTEM 15</t>
  </si>
  <si>
    <t>SYSTEM 16</t>
  </si>
  <si>
    <t>SYSTEM 17</t>
  </si>
  <si>
    <t>SYSTEM 19</t>
  </si>
  <si>
    <t>SYSTEM 20</t>
  </si>
  <si>
    <t>SYSTEM 21</t>
  </si>
  <si>
    <t>SYSTEM 22</t>
  </si>
  <si>
    <t>SYSTEM 23</t>
  </si>
  <si>
    <t>SYSTEM 24</t>
  </si>
  <si>
    <t>SYSTEM 25</t>
  </si>
  <si>
    <t>If, any free time, Team Member should be doing any assigned Modules</t>
  </si>
  <si>
    <t>Weekly Progress – Day One                                     Notes</t>
  </si>
  <si>
    <t xml:space="preserve">EOD NOTES: </t>
  </si>
  <si>
    <t xml:space="preserve">FILL OUT TRAINEE CONTACT SHEET </t>
  </si>
  <si>
    <t>Weekly Progress – Day Two                                       Notes</t>
  </si>
  <si>
    <t>Go over in greater detail the Quick Reference Guide &amp; Training Materials – Detailed Content Inventory, so TM has a greater idea of documents sent and printed for them</t>
  </si>
  <si>
    <t>If, any free time, Team Member should be doing any assigned Modules's</t>
  </si>
  <si>
    <t>Check in with Trainee, any questions or concerns? Go over plan for the day</t>
  </si>
  <si>
    <t>Completion Date</t>
  </si>
  <si>
    <t>Training Tracker</t>
  </si>
  <si>
    <t>TASK</t>
  </si>
  <si>
    <t>STATUS</t>
  </si>
  <si>
    <t>START DATE</t>
  </si>
  <si>
    <t>DUE DATE</t>
  </si>
  <si>
    <t>COMPLETION DATE</t>
  </si>
  <si>
    <t>NOTES</t>
  </si>
  <si>
    <t>In Progress</t>
  </si>
  <si>
    <t>Completed</t>
  </si>
  <si>
    <t>Track task progress, completion status, and workflow efficiency.</t>
  </si>
  <si>
    <t>Onboarding</t>
  </si>
  <si>
    <t xml:space="preserve">Trainee: </t>
  </si>
  <si>
    <t>Trainee Name</t>
  </si>
  <si>
    <t>Job Title</t>
  </si>
  <si>
    <t>Supervisor One</t>
  </si>
  <si>
    <t>supervisorone@unrealemail.com</t>
  </si>
  <si>
    <t>supervisortwo@unrealemail.com</t>
  </si>
  <si>
    <t>supervisorthree@unrealemail.com</t>
  </si>
  <si>
    <t>111-111-1111</t>
  </si>
  <si>
    <t>Supervisor Two</t>
  </si>
  <si>
    <t>Supervisor Three</t>
  </si>
  <si>
    <t>222-222-2222</t>
  </si>
  <si>
    <t>333-333-3333</t>
  </si>
  <si>
    <t>SYSTEM 9</t>
  </si>
  <si>
    <t>Not Required</t>
  </si>
  <si>
    <t>TRAINEE &amp; TRAINER CALL LISTEN/TAKE CALLS</t>
  </si>
  <si>
    <t>TRAINEE TAKE CALLS, TRAINER NAVIGATE</t>
  </si>
  <si>
    <t>Give Team Member tour of the facility</t>
  </si>
  <si>
    <t>Go over material in these folders to give context to what all could be encountered day-to-day</t>
  </si>
  <si>
    <t>Go over escalation flows and what is required each type of escalation</t>
  </si>
  <si>
    <t>Day-in-the life training, pausing to explain process, refer to Trainee Quick Reference Guide so TM knows what document to pull in the-moment</t>
  </si>
  <si>
    <t>If Team Member advanced, have them take a couple of calls while trainer navigates</t>
  </si>
  <si>
    <t>TEMPERATURE CHECK</t>
  </si>
  <si>
    <t>If Team Member given new access today, they did not receive on D3, make sure they can access.</t>
  </si>
  <si>
    <t>At the End of the Day, Debreif with Trainee and Make sure they feel confident in the days work, answer any questions.</t>
  </si>
  <si>
    <t>See Image (image can be copied and sent via email to team member)--&gt;</t>
  </si>
  <si>
    <t>If Permanent In-Office, assign station- if not, advise on which desks are shared for rotating staff</t>
  </si>
  <si>
    <t>Provided By Supervisor</t>
  </si>
  <si>
    <t>Provided By I.S. Department</t>
  </si>
  <si>
    <t>PIN Provided By I.S. Department</t>
  </si>
  <si>
    <t>Create New Team Member Folder to save training docs Y:\DEPARTMENT\TRAINING\COMPLETED TRAINEE DOCUMENTS</t>
  </si>
  <si>
    <t>Y:\DEPARTMENT\TRAINING\TRAINER TEMPLATES Fill Out, Provide to Team Member By Email/Print &amp; Save in ^^</t>
  </si>
  <si>
    <t>Print the entre folder titled : "PRINT FOR NEW TEAM MEMBER", TM will have it in their email, but these docs are great to add to binder</t>
  </si>
  <si>
    <t>If Time allows, Have New Team Member listen as you take calls, to start understanding the flow</t>
  </si>
  <si>
    <t>Email Entire Folder to Team Member Y:\DEPARTMENT\TRAINING\TRAINEE HOW-TOS &amp; GUIDES</t>
  </si>
  <si>
    <t>More Detailed Readiness Training, pausing to explain process, refer to Trainee Quick Reference Guide so TM knows what content pertains</t>
  </si>
  <si>
    <t>Second Half of Day should be getting team member used to Conversational Flow of Member Contact Calls</t>
  </si>
  <si>
    <t>Weekly Progress – Day Six</t>
  </si>
  <si>
    <t>Correctly escalates high-risk items</t>
  </si>
  <si>
    <t>Independently manages member calls while using resources appropriately</t>
  </si>
  <si>
    <t>Communicates clearly and professionally with members and internal teams</t>
  </si>
  <si>
    <t>Demonstrates understanding of policies, procedures, and compliance expectations</t>
  </si>
  <si>
    <t>Trainer completes the Training Progress Report</t>
  </si>
  <si>
    <t>Trainer provides a readiness recommendation</t>
  </si>
  <si>
    <t>Supervisor review and approval required prior to release</t>
  </si>
  <si>
    <t>Training may be extended based on identified development needs</t>
  </si>
  <si>
    <t>Additional training may include continued observation, supported practice, or targeted coaching</t>
  </si>
  <si>
    <t>Trainer provides recommendation</t>
  </si>
  <si>
    <t>Supervisor makes final determination regarding next steps</t>
  </si>
  <si>
    <t>Training extensions are determined case-by-case and typically range from one to several additional days</t>
  </si>
  <si>
    <t>If Team Member given new access today, they did not receive on D4, make sure they can access.</t>
  </si>
  <si>
    <t>PRIORITY</t>
  </si>
  <si>
    <t>Low</t>
  </si>
  <si>
    <t>High</t>
  </si>
  <si>
    <t>Medium</t>
  </si>
  <si>
    <t>TRAINING OPERATIONS DASHBOARD</t>
  </si>
  <si>
    <t>Training Tracker &amp; KPI Metrics</t>
  </si>
  <si>
    <t>Program:</t>
  </si>
  <si>
    <t>By EOD fill out Trainee Progress Report with recommendation on if trainee can be released. Submit to Supervisors for review.</t>
  </si>
  <si>
    <t>COMPLETION</t>
  </si>
  <si>
    <t>IN PROGRESS:</t>
  </si>
  <si>
    <t>OVERDUE TASKS:</t>
  </si>
  <si>
    <t>SYSTEM ACCESS:</t>
  </si>
  <si>
    <t>Day 1 - 6 Progress:</t>
  </si>
  <si>
    <t>READYNESS STATUS:</t>
  </si>
  <si>
    <t>Type</t>
  </si>
  <si>
    <t xml:space="preserve"> </t>
  </si>
  <si>
    <t>PRIORTY</t>
  </si>
  <si>
    <t>DAY ONE</t>
  </si>
  <si>
    <t>DAYTWO</t>
  </si>
  <si>
    <t>DAY THREE</t>
  </si>
  <si>
    <t>DAY FOUR</t>
  </si>
  <si>
    <t>DAY FIVE</t>
  </si>
  <si>
    <t>DAY SIX</t>
  </si>
  <si>
    <t>NOTES AND ALERTS</t>
  </si>
  <si>
    <t>OVERDUE TASKS</t>
  </si>
  <si>
    <t>Not Started</t>
  </si>
  <si>
    <t>TRAINING TRACKER SNAPSHOT</t>
  </si>
  <si>
    <t>DAYS OVERDUE</t>
  </si>
  <si>
    <t>Only tasks past due date and not completed are shown.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</si>
  <si>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</si>
  <si>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</si>
  <si>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</si>
  <si>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</si>
  <si>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</si>
  <si>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</si>
  <si>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</si>
  <si>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</si>
  <si>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</si>
  <si>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 xml:space="preserve">TASK 10 </t>
  </si>
  <si>
    <t xml:space="preserve">TASK 11 </t>
  </si>
  <si>
    <t>TASK 12</t>
  </si>
  <si>
    <t xml:space="preserve">TASK 13 </t>
  </si>
  <si>
    <t>TASK 14</t>
  </si>
  <si>
    <t>TASK 15</t>
  </si>
  <si>
    <t>TASK 16</t>
  </si>
  <si>
    <t>TASK 17</t>
  </si>
  <si>
    <t>TASK 18</t>
  </si>
  <si>
    <t>TASK 19</t>
  </si>
  <si>
    <t>Jane Doe</t>
  </si>
  <si>
    <t>DAY ONE - SIX ONBOARDING PROGRESS</t>
  </si>
  <si>
    <t xml:space="preserve">COMPLETION </t>
  </si>
  <si>
    <t>Navigates Systems without step-by-step guidance</t>
  </si>
  <si>
    <t>READY FOR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</si>
</sst>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(Body)"/>
    </font>
    <font>
      <b/>
      <sz val="12"/>
      <color theme="0"/>
      <name val="Calibri (Body)"/>
    </font>
    <font>
      <b/>
      <sz val="11"/>
      <color theme="0"/>
      <name val="Calibri (Body)"/>
    </font>
    <font>
      <sz val="11"/>
      <color theme="1"/>
      <name val="Calibri (Body)"/>
    </font>
    <font>
      <b/>
      <sz val="16"/>
      <color theme="0"/>
      <name val="Calibri(Body)"/>
    </font>
    <font>
      <sz val="8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b/>
      <i/>
      <u/>
      <sz val="11"/>
      <color rgb="FFFFC000"/>
      <name val="Calibri (boday)"/>
    </font>
    <font>
      <i/>
      <u/>
      <sz val="11"/>
      <color rgb="FFFFC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5"/>
      <color theme="0"/>
      <name val="Calibri (body)"/>
    </font>
    <font>
      <sz val="15"/>
      <color theme="1"/>
      <name val="Calibri (body)"/>
    </font>
    <font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.5"/>
      <color theme="0"/>
      <name val="Calibri"/>
      <family val="2"/>
      <scheme val="minor"/>
    </font>
    <font>
      <sz val="12"/>
      <color rgb="FF00FF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5"/>
      <color theme="8" tint="0.7999816888943144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rgb="FF00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55E"/>
        <bgColor rgb="FF1F355E"/>
      </patternFill>
    </fill>
    <fill>
      <patternFill patternType="solid">
        <fgColor rgb="FFE9EDF5"/>
        <bgColor rgb="FFE9EDF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theme="0"/>
      </top>
      <bottom/>
      <diagonal/>
    </border>
    <border>
      <left/>
      <right style="thick">
        <color auto="1"/>
      </right>
      <top style="thin">
        <color theme="0"/>
      </top>
      <bottom/>
      <diagonal/>
    </border>
    <border>
      <left style="thick">
        <color auto="1"/>
      </left>
      <right/>
      <top/>
      <bottom style="thin">
        <color theme="0"/>
      </bottom>
      <diagonal/>
    </border>
    <border>
      <left/>
      <right style="thick">
        <color auto="1"/>
      </right>
      <top/>
      <bottom style="thin">
        <color theme="0"/>
      </bottom>
      <diagonal/>
    </border>
    <border>
      <left style="thick">
        <color auto="1"/>
      </left>
      <right/>
      <top style="thin">
        <color theme="0"/>
      </top>
      <bottom style="thick">
        <color auto="1"/>
      </bottom>
      <diagonal/>
    </border>
    <border>
      <left/>
      <right/>
      <top style="thin">
        <color theme="0"/>
      </top>
      <bottom style="thick">
        <color auto="1"/>
      </bottom>
      <diagonal/>
    </border>
    <border>
      <left/>
      <right style="thick">
        <color auto="1"/>
      </right>
      <top style="thin">
        <color theme="0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theme="0"/>
      </left>
      <right style="thin">
        <color indexed="64"/>
      </right>
      <top style="thick">
        <color indexed="64"/>
      </top>
      <bottom/>
      <diagonal/>
    </border>
    <border>
      <left style="thin">
        <color theme="0"/>
      </left>
      <right/>
      <top style="thick">
        <color indexed="64"/>
      </top>
      <bottom style="thin">
        <color theme="0"/>
      </bottom>
      <diagonal/>
    </border>
    <border>
      <left/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n">
        <color theme="0"/>
      </right>
      <top style="thick">
        <color theme="1"/>
      </top>
      <bottom/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 style="thin">
        <color theme="0"/>
      </top>
      <bottom style="thick">
        <color theme="1"/>
      </bottom>
      <diagonal/>
    </border>
    <border>
      <left/>
      <right/>
      <top style="thin">
        <color theme="0"/>
      </top>
      <bottom style="thick">
        <color theme="1"/>
      </bottom>
      <diagonal/>
    </border>
    <border>
      <left/>
      <right style="thick">
        <color theme="1"/>
      </right>
      <top style="thin">
        <color theme="0"/>
      </top>
      <bottom style="thick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4" fillId="0" borderId="0" xfId="1"/>
    <xf numFmtId="0" fontId="0" fillId="4" borderId="0" xfId="0" applyFill="1"/>
    <xf numFmtId="0" fontId="3" fillId="4" borderId="0" xfId="0" applyFont="1" applyFill="1"/>
    <xf numFmtId="0" fontId="5" fillId="3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0" xfId="0" applyFont="1" applyFill="1"/>
    <xf numFmtId="14" fontId="0" fillId="0" borderId="0" xfId="0" applyNumberFormat="1"/>
    <xf numFmtId="0" fontId="13" fillId="0" borderId="0" xfId="0" applyFont="1"/>
    <xf numFmtId="14" fontId="13" fillId="0" borderId="0" xfId="0" applyNumberFormat="1" applyFont="1"/>
    <xf numFmtId="0" fontId="14" fillId="0" borderId="0" xfId="0" applyFont="1"/>
    <xf numFmtId="0" fontId="0" fillId="5" borderId="0" xfId="0" applyFill="1"/>
    <xf numFmtId="0" fontId="9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6" borderId="1" xfId="0" applyFont="1" applyFill="1" applyBorder="1" applyAlignment="1">
      <alignment horizontal="left"/>
    </xf>
    <xf numFmtId="0" fontId="12" fillId="6" borderId="2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3" fillId="6" borderId="0" xfId="0" applyFont="1" applyFill="1" applyAlignment="1">
      <alignment horizontal="left"/>
    </xf>
    <xf numFmtId="0" fontId="11" fillId="0" borderId="0" xfId="0" applyFont="1"/>
    <xf numFmtId="0" fontId="13" fillId="5" borderId="4" xfId="0" applyFont="1" applyFill="1" applyBorder="1"/>
    <xf numFmtId="14" fontId="13" fillId="5" borderId="4" xfId="0" applyNumberFormat="1" applyFont="1" applyFill="1" applyBorder="1"/>
    <xf numFmtId="0" fontId="18" fillId="4" borderId="4" xfId="0" applyFont="1" applyFill="1" applyBorder="1" applyAlignment="1">
      <alignment horizontal="center" vertical="center"/>
    </xf>
    <xf numFmtId="14" fontId="18" fillId="4" borderId="4" xfId="0" applyNumberFormat="1" applyFont="1" applyFill="1" applyBorder="1" applyAlignment="1">
      <alignment horizontal="center" vertical="center"/>
    </xf>
    <xf numFmtId="0" fontId="19" fillId="4" borderId="0" xfId="0" applyFont="1" applyFill="1" applyAlignment="1">
      <alignment horizontal="left"/>
    </xf>
    <xf numFmtId="0" fontId="19" fillId="4" borderId="0" xfId="0" applyFont="1" applyFill="1" applyAlignment="1">
      <alignment horizontal="center"/>
    </xf>
    <xf numFmtId="0" fontId="17" fillId="4" borderId="0" xfId="0" applyFont="1" applyFill="1"/>
    <xf numFmtId="0" fontId="20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5" fillId="5" borderId="0" xfId="0" applyFont="1" applyFill="1" applyAlignment="1">
      <alignment horizontal="left"/>
    </xf>
    <xf numFmtId="0" fontId="16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10" fontId="0" fillId="5" borderId="0" xfId="0" applyNumberFormat="1" applyFill="1" applyAlignment="1">
      <alignment horizontal="center"/>
    </xf>
    <xf numFmtId="14" fontId="13" fillId="5" borderId="4" xfId="0" applyNumberFormat="1" applyFont="1" applyFill="1" applyBorder="1" applyAlignment="1">
      <alignment vertical="center"/>
    </xf>
    <xf numFmtId="14" fontId="13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19" fillId="4" borderId="0" xfId="0" applyNumberFormat="1" applyFont="1" applyFill="1" applyAlignment="1">
      <alignment horizontal="center" vertical="center"/>
    </xf>
    <xf numFmtId="14" fontId="19" fillId="4" borderId="0" xfId="0" applyNumberFormat="1" applyFont="1" applyFill="1" applyAlignment="1">
      <alignment horizontal="left" vertical="center"/>
    </xf>
    <xf numFmtId="0" fontId="0" fillId="4" borderId="6" xfId="0" applyFill="1" applyBorder="1"/>
    <xf numFmtId="0" fontId="20" fillId="5" borderId="0" xfId="0" applyFont="1" applyFill="1" applyAlignment="1">
      <alignment horizontal="center"/>
    </xf>
    <xf numFmtId="10" fontId="21" fillId="5" borderId="0" xfId="0" applyNumberFormat="1" applyFont="1" applyFill="1" applyAlignment="1">
      <alignment horizontal="left"/>
    </xf>
    <xf numFmtId="0" fontId="19" fillId="4" borderId="0" xfId="0" applyFont="1" applyFill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/>
    </xf>
    <xf numFmtId="10" fontId="20" fillId="4" borderId="6" xfId="0" applyNumberFormat="1" applyFont="1" applyFill="1" applyBorder="1" applyAlignment="1">
      <alignment horizontal="right" vertical="center"/>
    </xf>
    <xf numFmtId="164" fontId="22" fillId="0" borderId="0" xfId="0" applyNumberFormat="1" applyFont="1" applyAlignment="1">
      <alignment horizontal="center"/>
    </xf>
    <xf numFmtId="164" fontId="22" fillId="5" borderId="4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0" fontId="20" fillId="4" borderId="0" xfId="0" applyNumberFormat="1" applyFont="1" applyFill="1" applyAlignment="1">
      <alignment horizontal="right" vertical="center"/>
    </xf>
    <xf numFmtId="0" fontId="20" fillId="4" borderId="8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20" fillId="4" borderId="13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left" vertical="center"/>
    </xf>
    <xf numFmtId="0" fontId="20" fillId="4" borderId="15" xfId="0" applyFont="1" applyFill="1" applyBorder="1" applyAlignment="1">
      <alignment horizontal="left" vertical="center"/>
    </xf>
    <xf numFmtId="0" fontId="0" fillId="4" borderId="18" xfId="0" applyFill="1" applyBorder="1" applyAlignment="1">
      <alignment horizontal="left"/>
    </xf>
    <xf numFmtId="0" fontId="20" fillId="5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10" fontId="20" fillId="4" borderId="9" xfId="0" applyNumberFormat="1" applyFont="1" applyFill="1" applyBorder="1" applyAlignment="1">
      <alignment horizontal="right" vertical="center"/>
    </xf>
    <xf numFmtId="10" fontId="20" fillId="4" borderId="18" xfId="0" applyNumberFormat="1" applyFont="1" applyFill="1" applyBorder="1" applyAlignment="1">
      <alignment horizontal="right" vertical="center"/>
    </xf>
    <xf numFmtId="10" fontId="20" fillId="4" borderId="16" xfId="0" applyNumberFormat="1" applyFont="1" applyFill="1" applyBorder="1" applyAlignment="1">
      <alignment horizontal="right" vertical="center"/>
    </xf>
    <xf numFmtId="0" fontId="0" fillId="4" borderId="8" xfId="0" applyFill="1" applyBorder="1"/>
    <xf numFmtId="0" fontId="0" fillId="4" borderId="13" xfId="0" applyFill="1" applyBorder="1"/>
    <xf numFmtId="0" fontId="0" fillId="4" borderId="15" xfId="0" applyFill="1" applyBorder="1"/>
    <xf numFmtId="0" fontId="3" fillId="4" borderId="0" xfId="0" applyFont="1" applyFill="1" applyAlignment="1">
      <alignment horizontal="center"/>
    </xf>
    <xf numFmtId="0" fontId="31" fillId="5" borderId="0" xfId="0" applyFont="1" applyFill="1"/>
    <xf numFmtId="10" fontId="31" fillId="5" borderId="0" xfId="0" applyNumberFormat="1" applyFont="1" applyFill="1"/>
    <xf numFmtId="14" fontId="19" fillId="4" borderId="0" xfId="0" applyNumberFormat="1" applyFont="1" applyFill="1" applyAlignment="1">
      <alignment horizontal="center"/>
    </xf>
    <xf numFmtId="14" fontId="19" fillId="4" borderId="0" xfId="0" applyNumberFormat="1" applyFont="1" applyFill="1" applyAlignment="1">
      <alignment horizontal="left"/>
    </xf>
    <xf numFmtId="0" fontId="39" fillId="5" borderId="0" xfId="0" applyFont="1" applyFill="1"/>
    <xf numFmtId="0" fontId="18" fillId="9" borderId="25" xfId="0" applyFont="1" applyFill="1" applyBorder="1" applyAlignment="1">
      <alignment horizontal="center"/>
    </xf>
    <xf numFmtId="14" fontId="3" fillId="7" borderId="27" xfId="0" applyNumberFormat="1" applyFont="1" applyFill="1" applyBorder="1"/>
    <xf numFmtId="14" fontId="3" fillId="7" borderId="32" xfId="0" applyNumberFormat="1" applyFont="1" applyFill="1" applyBorder="1"/>
    <xf numFmtId="0" fontId="18" fillId="10" borderId="54" xfId="0" applyFont="1" applyFill="1" applyBorder="1" applyAlignment="1">
      <alignment horizontal="center"/>
    </xf>
    <xf numFmtId="0" fontId="34" fillId="7" borderId="5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/>
    </xf>
    <xf numFmtId="0" fontId="18" fillId="10" borderId="51" xfId="0" applyFont="1" applyFill="1" applyBorder="1" applyAlignment="1">
      <alignment horizontal="center"/>
    </xf>
    <xf numFmtId="0" fontId="3" fillId="7" borderId="30" xfId="0" applyFont="1" applyFill="1" applyBorder="1"/>
    <xf numFmtId="0" fontId="3" fillId="7" borderId="31" xfId="0" applyFont="1" applyFill="1" applyBorder="1"/>
    <xf numFmtId="0" fontId="3" fillId="7" borderId="44" xfId="0" applyFont="1" applyFill="1" applyBorder="1"/>
    <xf numFmtId="0" fontId="3" fillId="7" borderId="45" xfId="0" applyFont="1" applyFill="1" applyBorder="1"/>
    <xf numFmtId="0" fontId="3" fillId="7" borderId="46" xfId="0" applyFont="1" applyFill="1" applyBorder="1"/>
    <xf numFmtId="0" fontId="35" fillId="8" borderId="47" xfId="0" applyFont="1" applyFill="1" applyBorder="1" applyAlignment="1">
      <alignment horizontal="center" vertical="center"/>
    </xf>
    <xf numFmtId="0" fontId="37" fillId="8" borderId="48" xfId="0" applyFont="1" applyFill="1" applyBorder="1" applyAlignment="1">
      <alignment horizontal="center" vertical="center"/>
    </xf>
    <xf numFmtId="0" fontId="37" fillId="8" borderId="49" xfId="0" applyFont="1" applyFill="1" applyBorder="1" applyAlignment="1">
      <alignment horizontal="center" vertical="center"/>
    </xf>
    <xf numFmtId="0" fontId="18" fillId="10" borderId="52" xfId="0" applyFont="1" applyFill="1" applyBorder="1" applyAlignment="1">
      <alignment horizontal="center"/>
    </xf>
    <xf numFmtId="0" fontId="18" fillId="10" borderId="53" xfId="0" applyFont="1" applyFill="1" applyBorder="1" applyAlignment="1">
      <alignment horizontal="center"/>
    </xf>
    <xf numFmtId="0" fontId="3" fillId="7" borderId="20" xfId="0" applyFont="1" applyFill="1" applyBorder="1"/>
    <xf numFmtId="0" fontId="3" fillId="7" borderId="26" xfId="0" applyFont="1" applyFill="1" applyBorder="1"/>
    <xf numFmtId="0" fontId="3" fillId="7" borderId="3" xfId="0" applyFont="1" applyFill="1" applyBorder="1"/>
    <xf numFmtId="0" fontId="3" fillId="7" borderId="5" xfId="0" applyFont="1" applyFill="1" applyBorder="1"/>
    <xf numFmtId="0" fontId="18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23" fillId="4" borderId="8" xfId="0" applyFont="1" applyFill="1" applyBorder="1" applyAlignment="1">
      <alignment horizontal="right"/>
    </xf>
    <xf numFmtId="0" fontId="24" fillId="4" borderId="9" xfId="0" applyFont="1" applyFill="1" applyBorder="1" applyAlignment="1">
      <alignment horizontal="right"/>
    </xf>
    <xf numFmtId="0" fontId="24" fillId="4" borderId="13" xfId="0" applyFont="1" applyFill="1" applyBorder="1" applyAlignment="1">
      <alignment horizontal="right"/>
    </xf>
    <xf numFmtId="0" fontId="24" fillId="4" borderId="0" xfId="0" applyFont="1" applyFill="1" applyAlignment="1">
      <alignment horizontal="right"/>
    </xf>
    <xf numFmtId="0" fontId="24" fillId="4" borderId="15" xfId="0" applyFont="1" applyFill="1" applyBorder="1" applyAlignment="1">
      <alignment horizontal="right"/>
    </xf>
    <xf numFmtId="0" fontId="24" fillId="4" borderId="16" xfId="0" applyFont="1" applyFill="1" applyBorder="1" applyAlignment="1">
      <alignment horizontal="right"/>
    </xf>
    <xf numFmtId="10" fontId="25" fillId="4" borderId="11" xfId="0" applyNumberFormat="1" applyFont="1" applyFill="1" applyBorder="1" applyAlignment="1">
      <alignment horizontal="right" vertical="center"/>
    </xf>
    <xf numFmtId="10" fontId="25" fillId="4" borderId="10" xfId="0" applyNumberFormat="1" applyFont="1" applyFill="1" applyBorder="1" applyAlignment="1">
      <alignment horizontal="right" vertical="center"/>
    </xf>
    <xf numFmtId="10" fontId="25" fillId="4" borderId="6" xfId="0" applyNumberFormat="1" applyFont="1" applyFill="1" applyBorder="1" applyAlignment="1">
      <alignment horizontal="right" vertical="center"/>
    </xf>
    <xf numFmtId="10" fontId="25" fillId="4" borderId="7" xfId="0" applyNumberFormat="1" applyFont="1" applyFill="1" applyBorder="1" applyAlignment="1">
      <alignment horizontal="right" vertical="center"/>
    </xf>
    <xf numFmtId="0" fontId="23" fillId="4" borderId="7" xfId="0" applyFont="1" applyFill="1" applyBorder="1" applyAlignment="1">
      <alignment horizontal="center" vertical="top"/>
    </xf>
    <xf numFmtId="0" fontId="23" fillId="4" borderId="17" xfId="0" applyFont="1" applyFill="1" applyBorder="1" applyAlignment="1">
      <alignment horizontal="center" vertical="top"/>
    </xf>
    <xf numFmtId="0" fontId="27" fillId="4" borderId="9" xfId="0" applyFont="1" applyFill="1" applyBorder="1" applyAlignment="1">
      <alignment horizontal="right" vertical="center"/>
    </xf>
    <xf numFmtId="0" fontId="28" fillId="4" borderId="12" xfId="0" applyFont="1" applyFill="1" applyBorder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28" fillId="4" borderId="14" xfId="0" applyFont="1" applyFill="1" applyBorder="1" applyAlignment="1">
      <alignment horizontal="right" vertical="center"/>
    </xf>
    <xf numFmtId="164" fontId="23" fillId="4" borderId="0" xfId="0" applyNumberFormat="1" applyFont="1" applyFill="1" applyAlignment="1">
      <alignment horizontal="center" vertical="top"/>
    </xf>
    <xf numFmtId="164" fontId="23" fillId="4" borderId="14" xfId="0" applyNumberFormat="1" applyFont="1" applyFill="1" applyBorder="1" applyAlignment="1">
      <alignment horizontal="center" vertical="top"/>
    </xf>
    <xf numFmtId="164" fontId="23" fillId="4" borderId="16" xfId="0" applyNumberFormat="1" applyFont="1" applyFill="1" applyBorder="1" applyAlignment="1">
      <alignment horizontal="center" vertical="top"/>
    </xf>
    <xf numFmtId="164" fontId="23" fillId="4" borderId="19" xfId="0" applyNumberFormat="1" applyFont="1" applyFill="1" applyBorder="1" applyAlignment="1">
      <alignment horizontal="center" vertical="top"/>
    </xf>
    <xf numFmtId="0" fontId="26" fillId="4" borderId="9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4" borderId="7" xfId="0" applyFont="1" applyFill="1" applyBorder="1" applyAlignment="1">
      <alignment horizontal="right" vertical="center"/>
    </xf>
    <xf numFmtId="10" fontId="23" fillId="4" borderId="0" xfId="0" applyNumberFormat="1" applyFont="1" applyFill="1" applyAlignment="1">
      <alignment horizontal="center" vertical="top"/>
    </xf>
    <xf numFmtId="10" fontId="23" fillId="4" borderId="7" xfId="0" applyNumberFormat="1" applyFont="1" applyFill="1" applyBorder="1" applyAlignment="1">
      <alignment horizontal="center" vertical="top"/>
    </xf>
    <xf numFmtId="10" fontId="23" fillId="4" borderId="16" xfId="0" applyNumberFormat="1" applyFont="1" applyFill="1" applyBorder="1" applyAlignment="1">
      <alignment horizontal="center" vertical="top"/>
    </xf>
    <xf numFmtId="10" fontId="23" fillId="4" borderId="17" xfId="0" applyNumberFormat="1" applyFont="1" applyFill="1" applyBorder="1" applyAlignment="1">
      <alignment horizontal="center" vertical="top"/>
    </xf>
    <xf numFmtId="0" fontId="27" fillId="4" borderId="9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4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top"/>
    </xf>
    <xf numFmtId="0" fontId="29" fillId="4" borderId="14" xfId="0" applyFont="1" applyFill="1" applyBorder="1" applyAlignment="1">
      <alignment horizontal="center" vertical="top"/>
    </xf>
    <xf numFmtId="0" fontId="29" fillId="4" borderId="16" xfId="0" applyFont="1" applyFill="1" applyBorder="1" applyAlignment="1">
      <alignment horizontal="center" vertical="top"/>
    </xf>
    <xf numFmtId="0" fontId="29" fillId="4" borderId="19" xfId="0" applyFont="1" applyFill="1" applyBorder="1" applyAlignment="1">
      <alignment horizontal="center" vertical="top"/>
    </xf>
    <xf numFmtId="0" fontId="0" fillId="4" borderId="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0" fillId="4" borderId="14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/>
    </xf>
    <xf numFmtId="0" fontId="32" fillId="10" borderId="58" xfId="0" applyFont="1" applyFill="1" applyBorder="1" applyAlignment="1">
      <alignment horizontal="right" vertical="center"/>
    </xf>
    <xf numFmtId="0" fontId="33" fillId="10" borderId="3" xfId="0" applyFont="1" applyFill="1" applyBorder="1" applyAlignment="1">
      <alignment horizontal="right" vertical="center"/>
    </xf>
    <xf numFmtId="0" fontId="33" fillId="10" borderId="59" xfId="0" applyFont="1" applyFill="1" applyBorder="1" applyAlignment="1">
      <alignment horizontal="right" vertical="center"/>
    </xf>
    <xf numFmtId="0" fontId="33" fillId="10" borderId="60" xfId="0" applyFont="1" applyFill="1" applyBorder="1" applyAlignment="1">
      <alignment horizontal="right" vertical="center"/>
    </xf>
    <xf numFmtId="0" fontId="33" fillId="10" borderId="61" xfId="0" applyFont="1" applyFill="1" applyBorder="1" applyAlignment="1">
      <alignment horizontal="right" vertical="center"/>
    </xf>
    <xf numFmtId="0" fontId="33" fillId="10" borderId="62" xfId="0" applyFont="1" applyFill="1" applyBorder="1" applyAlignment="1">
      <alignment horizontal="right" vertical="center"/>
    </xf>
    <xf numFmtId="0" fontId="34" fillId="7" borderId="57" xfId="0" applyFont="1" applyFill="1" applyBorder="1" applyAlignment="1">
      <alignment horizontal="left" vertical="center"/>
    </xf>
    <xf numFmtId="0" fontId="34" fillId="7" borderId="7" xfId="0" applyFont="1" applyFill="1" applyBorder="1" applyAlignment="1">
      <alignment horizontal="left" vertical="center"/>
    </xf>
    <xf numFmtId="0" fontId="34" fillId="7" borderId="55" xfId="0" applyFont="1" applyFill="1" applyBorder="1" applyAlignment="1">
      <alignment horizontal="left" vertical="center"/>
    </xf>
    <xf numFmtId="0" fontId="34" fillId="7" borderId="2" xfId="0" applyFont="1" applyFill="1" applyBorder="1" applyAlignment="1">
      <alignment horizontal="left" vertical="center"/>
    </xf>
    <xf numFmtId="1" fontId="34" fillId="7" borderId="21" xfId="0" applyNumberFormat="1" applyFont="1" applyFill="1" applyBorder="1" applyAlignment="1">
      <alignment horizontal="center"/>
    </xf>
    <xf numFmtId="1" fontId="34" fillId="7" borderId="2" xfId="0" applyNumberFormat="1" applyFont="1" applyFill="1" applyBorder="1" applyAlignment="1">
      <alignment horizontal="center"/>
    </xf>
    <xf numFmtId="0" fontId="35" fillId="12" borderId="33" xfId="0" applyFont="1" applyFill="1" applyBorder="1" applyAlignment="1">
      <alignment horizontal="center"/>
    </xf>
    <xf numFmtId="0" fontId="37" fillId="12" borderId="34" xfId="0" applyFont="1" applyFill="1" applyBorder="1" applyAlignment="1">
      <alignment horizontal="center"/>
    </xf>
    <xf numFmtId="0" fontId="37" fillId="12" borderId="35" xfId="0" applyFont="1" applyFill="1" applyBorder="1" applyAlignment="1">
      <alignment horizontal="center"/>
    </xf>
    <xf numFmtId="0" fontId="0" fillId="13" borderId="30" xfId="0" applyFill="1" applyBorder="1"/>
    <xf numFmtId="0" fontId="0" fillId="13" borderId="31" xfId="0" applyFill="1" applyBorder="1"/>
    <xf numFmtId="0" fontId="0" fillId="13" borderId="32" xfId="0" applyFill="1" applyBorder="1"/>
    <xf numFmtId="1" fontId="41" fillId="7" borderId="26" xfId="0" applyNumberFormat="1" applyFont="1" applyFill="1" applyBorder="1" applyAlignment="1">
      <alignment horizontal="center" vertical="center"/>
    </xf>
    <xf numFmtId="1" fontId="41" fillId="7" borderId="3" xfId="0" applyNumberFormat="1" applyFont="1" applyFill="1" applyBorder="1" applyAlignment="1">
      <alignment horizontal="center" vertical="center"/>
    </xf>
    <xf numFmtId="1" fontId="41" fillId="7" borderId="27" xfId="0" applyNumberFormat="1" applyFont="1" applyFill="1" applyBorder="1" applyAlignment="1">
      <alignment horizontal="center" vertical="center"/>
    </xf>
    <xf numFmtId="1" fontId="41" fillId="7" borderId="28" xfId="0" applyNumberFormat="1" applyFont="1" applyFill="1" applyBorder="1" applyAlignment="1">
      <alignment horizontal="center" vertical="center"/>
    </xf>
    <xf numFmtId="1" fontId="41" fillId="7" borderId="22" xfId="0" applyNumberFormat="1" applyFont="1" applyFill="1" applyBorder="1" applyAlignment="1">
      <alignment horizontal="center" vertical="center"/>
    </xf>
    <xf numFmtId="1" fontId="41" fillId="7" borderId="29" xfId="0" applyNumberFormat="1" applyFont="1" applyFill="1" applyBorder="1" applyAlignment="1">
      <alignment horizontal="center" vertical="center"/>
    </xf>
    <xf numFmtId="0" fontId="42" fillId="7" borderId="26" xfId="0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42" fillId="7" borderId="27" xfId="0" applyFont="1" applyFill="1" applyBorder="1" applyAlignment="1">
      <alignment horizontal="center" vertical="center"/>
    </xf>
    <xf numFmtId="0" fontId="42" fillId="7" borderId="28" xfId="0" applyFont="1" applyFill="1" applyBorder="1" applyAlignment="1">
      <alignment horizontal="center" vertical="center"/>
    </xf>
    <xf numFmtId="0" fontId="42" fillId="7" borderId="22" xfId="0" applyFont="1" applyFill="1" applyBorder="1" applyAlignment="1">
      <alignment horizontal="center" vertical="center"/>
    </xf>
    <xf numFmtId="0" fontId="42" fillId="7" borderId="29" xfId="0" applyFont="1" applyFill="1" applyBorder="1" applyAlignment="1">
      <alignment horizontal="center" vertical="center"/>
    </xf>
    <xf numFmtId="0" fontId="45" fillId="7" borderId="26" xfId="0" applyFont="1" applyFill="1" applyBorder="1" applyAlignment="1">
      <alignment horizontal="center" vertical="center"/>
    </xf>
    <xf numFmtId="0" fontId="45" fillId="7" borderId="3" xfId="0" applyFont="1" applyFill="1" applyBorder="1" applyAlignment="1">
      <alignment horizontal="center" vertical="center"/>
    </xf>
    <xf numFmtId="0" fontId="45" fillId="7" borderId="27" xfId="0" applyFont="1" applyFill="1" applyBorder="1" applyAlignment="1">
      <alignment horizontal="center" vertical="center"/>
    </xf>
    <xf numFmtId="0" fontId="45" fillId="7" borderId="28" xfId="0" applyFont="1" applyFill="1" applyBorder="1" applyAlignment="1">
      <alignment horizontal="center" vertical="center"/>
    </xf>
    <xf numFmtId="0" fontId="45" fillId="7" borderId="22" xfId="0" applyFont="1" applyFill="1" applyBorder="1" applyAlignment="1">
      <alignment horizontal="center" vertical="center"/>
    </xf>
    <xf numFmtId="0" fontId="45" fillId="7" borderId="29" xfId="0" applyFont="1" applyFill="1" applyBorder="1" applyAlignment="1">
      <alignment horizontal="center" vertical="center"/>
    </xf>
    <xf numFmtId="0" fontId="38" fillId="13" borderId="23" xfId="0" applyFont="1" applyFill="1" applyBorder="1" applyAlignment="1">
      <alignment horizontal="center" vertical="center"/>
    </xf>
    <xf numFmtId="0" fontId="38" fillId="13" borderId="24" xfId="0" applyFont="1" applyFill="1" applyBorder="1" applyAlignment="1">
      <alignment horizontal="center" vertical="center"/>
    </xf>
    <xf numFmtId="0" fontId="38" fillId="13" borderId="25" xfId="0" applyFont="1" applyFill="1" applyBorder="1" applyAlignment="1">
      <alignment horizontal="center" vertical="center"/>
    </xf>
    <xf numFmtId="0" fontId="38" fillId="13" borderId="28" xfId="0" applyFont="1" applyFill="1" applyBorder="1" applyAlignment="1">
      <alignment horizontal="center" vertical="center"/>
    </xf>
    <xf numFmtId="0" fontId="38" fillId="13" borderId="22" xfId="0" applyFont="1" applyFill="1" applyBorder="1" applyAlignment="1">
      <alignment horizontal="center" vertical="center"/>
    </xf>
    <xf numFmtId="0" fontId="38" fillId="13" borderId="29" xfId="0" applyFont="1" applyFill="1" applyBorder="1" applyAlignment="1">
      <alignment horizontal="center" vertical="center"/>
    </xf>
    <xf numFmtId="0" fontId="43" fillId="14" borderId="50" xfId="0" applyFont="1" applyFill="1" applyBorder="1" applyAlignment="1">
      <alignment horizontal="center" vertical="center"/>
    </xf>
    <xf numFmtId="0" fontId="43" fillId="14" borderId="63" xfId="0" applyFont="1" applyFill="1" applyBorder="1" applyAlignment="1">
      <alignment horizontal="center" vertical="center"/>
    </xf>
    <xf numFmtId="0" fontId="43" fillId="14" borderId="64" xfId="0" applyFont="1" applyFill="1" applyBorder="1" applyAlignment="1">
      <alignment horizontal="center" vertical="center"/>
    </xf>
    <xf numFmtId="0" fontId="43" fillId="14" borderId="65" xfId="0" applyFont="1" applyFill="1" applyBorder="1" applyAlignment="1">
      <alignment horizontal="center" vertical="center"/>
    </xf>
    <xf numFmtId="0" fontId="43" fillId="14" borderId="22" xfId="0" applyFont="1" applyFill="1" applyBorder="1" applyAlignment="1">
      <alignment horizontal="center" vertical="center"/>
    </xf>
    <xf numFmtId="0" fontId="43" fillId="14" borderId="66" xfId="0" applyFont="1" applyFill="1" applyBorder="1" applyAlignment="1">
      <alignment horizontal="center" vertical="center"/>
    </xf>
    <xf numFmtId="0" fontId="44" fillId="7" borderId="58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59" xfId="0" applyFont="1" applyFill="1" applyBorder="1" applyAlignment="1">
      <alignment horizontal="center" vertical="center"/>
    </xf>
    <xf numFmtId="0" fontId="44" fillId="7" borderId="57" xfId="0" applyFont="1" applyFill="1" applyBorder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44" fillId="7" borderId="67" xfId="0" applyFont="1" applyFill="1" applyBorder="1" applyAlignment="1">
      <alignment horizontal="center" vertical="center"/>
    </xf>
    <xf numFmtId="0" fontId="44" fillId="7" borderId="65" xfId="0" applyFont="1" applyFill="1" applyBorder="1" applyAlignment="1">
      <alignment horizontal="center" vertical="center"/>
    </xf>
    <xf numFmtId="0" fontId="44" fillId="7" borderId="22" xfId="0" applyFont="1" applyFill="1" applyBorder="1" applyAlignment="1">
      <alignment horizontal="center" vertical="center"/>
    </xf>
    <xf numFmtId="0" fontId="44" fillId="7" borderId="66" xfId="0" applyFont="1" applyFill="1" applyBorder="1" applyAlignment="1">
      <alignment horizontal="center" vertical="center"/>
    </xf>
    <xf numFmtId="0" fontId="0" fillId="14" borderId="68" xfId="0" applyFill="1" applyBorder="1" applyAlignment="1">
      <alignment horizontal="center"/>
    </xf>
    <xf numFmtId="0" fontId="0" fillId="14" borderId="69" xfId="0" applyFill="1" applyBorder="1" applyAlignment="1">
      <alignment horizontal="center"/>
    </xf>
    <xf numFmtId="0" fontId="0" fillId="14" borderId="70" xfId="0" applyFill="1" applyBorder="1" applyAlignment="1">
      <alignment horizontal="center"/>
    </xf>
    <xf numFmtId="0" fontId="35" fillId="11" borderId="36" xfId="0" applyFont="1" applyFill="1" applyBorder="1" applyAlignment="1">
      <alignment horizontal="center" vertical="center"/>
    </xf>
    <xf numFmtId="0" fontId="36" fillId="11" borderId="37" xfId="0" applyFont="1" applyFill="1" applyBorder="1" applyAlignment="1">
      <alignment horizontal="center" vertical="center"/>
    </xf>
    <xf numFmtId="0" fontId="36" fillId="11" borderId="38" xfId="0" applyFont="1" applyFill="1" applyBorder="1" applyAlignment="1">
      <alignment horizontal="center" vertical="center"/>
    </xf>
    <xf numFmtId="0" fontId="18" fillId="9" borderId="39" xfId="0" applyFont="1" applyFill="1" applyBorder="1" applyAlignment="1">
      <alignment horizontal="center"/>
    </xf>
    <xf numFmtId="0" fontId="19" fillId="9" borderId="40" xfId="0" applyFont="1" applyFill="1" applyBorder="1" applyAlignment="1">
      <alignment horizontal="center"/>
    </xf>
    <xf numFmtId="0" fontId="18" fillId="9" borderId="41" xfId="0" applyFont="1" applyFill="1" applyBorder="1" applyAlignment="1">
      <alignment horizontal="center"/>
    </xf>
    <xf numFmtId="0" fontId="18" fillId="9" borderId="42" xfId="0" applyFont="1" applyFill="1" applyBorder="1" applyAlignment="1">
      <alignment horizontal="center"/>
    </xf>
    <xf numFmtId="0" fontId="19" fillId="9" borderId="43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left"/>
    </xf>
    <xf numFmtId="0" fontId="7" fillId="2" borderId="0" xfId="0" applyFont="1" applyFill="1"/>
    <xf numFmtId="0" fontId="0" fillId="0" borderId="0" xfId="0"/>
    <xf numFmtId="0" fontId="1" fillId="2" borderId="0" xfId="0" applyFont="1" applyFill="1"/>
    <xf numFmtId="0" fontId="8" fillId="5" borderId="0" xfId="0" applyFont="1" applyFill="1"/>
    <xf numFmtId="0" fontId="8" fillId="0" borderId="0" xfId="0" applyFont="1"/>
    <xf numFmtId="0" fontId="46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47" fillId="5" borderId="0" xfId="0" applyFont="1" applyFill="1" applyAlignment="1">
      <alignment horizontal="center" vertical="center" wrapText="1"/>
    </xf>
    <xf numFmtId="0" fontId="48" fillId="5" borderId="0" xfId="0" applyFont="1" applyFill="1" applyAlignment="1">
      <alignment vertical="center" wrapText="1"/>
    </xf>
    <xf numFmtId="0" fontId="48" fillId="5" borderId="0" xfId="0" applyFont="1" applyFill="1"/>
    <xf numFmtId="1" fontId="48" fillId="5" borderId="0" xfId="0" applyNumberFormat="1" applyFont="1" applyFill="1"/>
  </cellXfs>
  <cellStyles count="2">
    <cellStyle name="Hyperlink" xfId="1" builtinId="8"/>
    <cellStyle name="Normal" xfId="0" builtinId="0"/>
  </cellStyles>
  <dxfs count="19">
    <dxf>
      <font>
        <strike val="0"/>
      </font>
      <numFmt numFmtId="0" formatCode="General"/>
      <fill>
        <patternFill>
          <bgColor rgb="FFA3FFCD"/>
        </patternFill>
      </fill>
    </dxf>
    <dxf>
      <numFmt numFmtId="0" formatCode="General"/>
      <fill>
        <patternFill>
          <bgColor rgb="FFFFCC99"/>
        </patternFill>
      </fill>
    </dxf>
    <dxf>
      <fill>
        <patternFill>
          <bgColor rgb="FFFF5050"/>
        </patternFill>
      </fill>
    </dxf>
    <dxf>
      <fill>
        <patternFill>
          <bgColor rgb="FFFF4343"/>
        </patternFill>
      </fill>
    </dxf>
    <dxf>
      <fill>
        <patternFill>
          <bgColor rgb="FFFFB089"/>
        </patternFill>
      </fill>
    </dxf>
    <dxf>
      <fill>
        <patternFill>
          <bgColor rgb="FF99FFCC"/>
        </patternFill>
      </fill>
    </dxf>
    <dxf>
      <font>
        <b/>
        <i/>
        <color rgb="FFFF0000"/>
      </font>
    </dxf>
    <dxf>
      <font>
        <b/>
        <i val="0"/>
        <color rgb="FF00B050"/>
      </font>
    </dxf>
    <dxf>
      <font>
        <b/>
        <i val="0"/>
        <color rgb="FFFFFF00"/>
      </font>
    </dxf>
    <dxf>
      <font>
        <b/>
        <i val="0"/>
        <color rgb="FFCC3399"/>
      </font>
    </dxf>
    <dxf>
      <font>
        <b/>
        <i/>
        <color theme="5" tint="-0.24994659260841701"/>
      </font>
    </dxf>
    <dxf>
      <font>
        <b/>
        <i/>
        <color rgb="FF00FF00"/>
      </font>
    </dxf>
    <dxf>
      <font>
        <b/>
        <i/>
        <color rgb="FFFF0000"/>
      </font>
      <numFmt numFmtId="19" formatCode="m/d/yyyy"/>
    </dxf>
    <dxf>
      <font>
        <b/>
        <i/>
        <color rgb="FFFF0000"/>
      </font>
    </dxf>
    <dxf>
      <font>
        <b/>
        <i val="0"/>
        <color rgb="FFFFC000"/>
      </font>
    </dxf>
    <dxf>
      <font>
        <b/>
        <i val="0"/>
        <color rgb="FF00FF00"/>
      </font>
    </dxf>
    <dxf>
      <font>
        <b/>
        <i/>
        <color rgb="FFFF0000"/>
      </font>
      <numFmt numFmtId="0" formatCode="General"/>
    </dxf>
    <dxf>
      <font>
        <b/>
        <i val="0"/>
        <color rgb="FF00FF00"/>
      </font>
    </dxf>
    <dxf>
      <font>
        <b/>
        <i val="0"/>
        <color rgb="FFFFC000"/>
      </font>
    </dxf>
  </dxfs>
  <tableStyles count="0" defaultTableStyle="TableStyleMedium9" defaultPivotStyle="PivotStyleLight16"/>
  <colors>
    <mruColors>
      <color rgb="FF00FF00"/>
      <color rgb="FFCC3399"/>
      <color rgb="FF00FFFF"/>
      <color rgb="FF3366CC"/>
      <color rgb="FFFFCCFF"/>
      <color rgb="FFFFFF66"/>
      <color rgb="FFFF9999"/>
      <color rgb="FFCC99FF"/>
      <color rgb="FF79DC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828364219933419"/>
          <c:y val="5.159958720330237E-2"/>
          <c:w val="0.83968889828094706"/>
          <c:h val="0.82869830899620534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1607-4848-A230-F9FA85CFB428}"/>
              </c:ext>
            </c:extLst>
          </c:dPt>
          <c:dPt>
            <c:idx val="1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607-4848-A230-F9FA85CFB428}"/>
              </c:ext>
            </c:extLst>
          </c:dPt>
          <c:dPt>
            <c:idx val="2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1607-4848-A230-F9FA85CFB428}"/>
              </c:ext>
            </c:extLst>
          </c:dPt>
          <c:dPt>
            <c:idx val="3"/>
            <c:invertIfNegative val="0"/>
            <c:bubble3D val="0"/>
            <c:spPr>
              <a:solidFill>
                <a:srgbClr val="CC99FF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607-4848-A230-F9FA85CFB428}"/>
              </c:ext>
            </c:extLst>
          </c:dPt>
          <c:dPt>
            <c:idx val="4"/>
            <c:invertIfNegative val="0"/>
            <c:bubble3D val="0"/>
            <c:spPr>
              <a:solidFill>
                <a:srgbClr val="00FFFF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1607-4848-A230-F9FA85CFB428}"/>
              </c:ext>
            </c:extLst>
          </c:dPt>
          <c:dPt>
            <c:idx val="5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607-4848-A230-F9FA85CFB428}"/>
              </c:ext>
            </c:extLst>
          </c:dPt>
          <c:cat>
            <c:strRef>
              <c:f>Dashboard!$V$37:$V$42</c:f>
              <c:strCache>
                <c:ptCount val="6"/>
                <c:pt idx="0">
                  <c:v>DAY ONE</c:v>
                </c:pt>
                <c:pt idx="1">
                  <c:v>DAYTWO</c:v>
                </c:pt>
                <c:pt idx="2">
                  <c:v>DAY THREE</c:v>
                </c:pt>
                <c:pt idx="3">
                  <c:v>DAY FOUR</c:v>
                </c:pt>
                <c:pt idx="4">
                  <c:v>DAY FIVE</c:v>
                </c:pt>
                <c:pt idx="5">
                  <c:v>DAY SIX</c:v>
                </c:pt>
              </c:strCache>
            </c:strRef>
          </c:cat>
          <c:val>
            <c:numRef>
              <c:f>Dashboard!$W$37:$W$42</c:f>
              <c:numCache>
                <c:formatCode>0.00%</c:formatCode>
                <c:ptCount val="6"/>
                <c:pt idx="0">
                  <c:v>0.53846153846153844</c:v>
                </c:pt>
                <c:pt idx="1">
                  <c:v>0.42857142857142855</c:v>
                </c:pt>
                <c:pt idx="2">
                  <c:v>0.4</c:v>
                </c:pt>
                <c:pt idx="3">
                  <c:v>0.5714285714285714</c:v>
                </c:pt>
                <c:pt idx="4">
                  <c:v>0.5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7-4848-A230-F9FA85CFB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8192464"/>
        <c:axId val="218195824"/>
        <c:axId val="0"/>
      </c:bar3DChart>
      <c:catAx>
        <c:axId val="21819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95824"/>
        <c:crosses val="autoZero"/>
        <c:auto val="1"/>
        <c:lblAlgn val="ctr"/>
        <c:lblOffset val="100"/>
        <c:noMultiLvlLbl val="0"/>
      </c:catAx>
      <c:valAx>
        <c:axId val="2181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924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12700" cap="flat" cmpd="sng" algn="ctr">
      <a:solidFill>
        <a:schemeClr val="tx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" Type="http://schemas.openxmlformats.org/officeDocument/2006/relationships/image" Target="../media/image2.svg"/><Relationship Id="rId16" Type="http://schemas.openxmlformats.org/officeDocument/2006/relationships/image" Target="../media/image16.png"/><Relationship Id="rId20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5" Type="http://schemas.openxmlformats.org/officeDocument/2006/relationships/image" Target="../media/image15.svg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4" Type="http://schemas.openxmlformats.org/officeDocument/2006/relationships/image" Target="../media/image4.svg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1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548640</xdr:colOff>
      <xdr:row>3</xdr:row>
      <xdr:rowOff>53340</xdr:rowOff>
    </xdr:to>
    <xdr:pic>
      <xdr:nvPicPr>
        <xdr:cNvPr id="4" name="Graphic 3" descr="Call center outline">
          <a:extLst>
            <a:ext uri="{FF2B5EF4-FFF2-40B4-BE49-F238E27FC236}">
              <a16:creationId xmlns:a16="http://schemas.microsoft.com/office/drawing/2014/main" id="{AFD80502-40AF-6F0F-75BB-5CA7637BE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624840"/>
          <a:ext cx="556260" cy="556260"/>
        </a:xfrm>
        <a:prstGeom prst="rect">
          <a:avLst/>
        </a:prstGeom>
      </xdr:spPr>
    </xdr:pic>
    <xdr:clientData/>
  </xdr:twoCellAnchor>
  <xdr:twoCellAnchor>
    <xdr:from>
      <xdr:col>0</xdr:col>
      <xdr:colOff>624840</xdr:colOff>
      <xdr:row>2</xdr:row>
      <xdr:rowOff>22860</xdr:rowOff>
    </xdr:from>
    <xdr:to>
      <xdr:col>2</xdr:col>
      <xdr:colOff>38100</xdr:colOff>
      <xdr:row>2</xdr:row>
      <xdr:rowOff>495300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108990D-535B-5BAF-0B96-9411331C10FB}"/>
            </a:ext>
          </a:extLst>
        </xdr:cNvPr>
        <xdr:cNvSpPr/>
      </xdr:nvSpPr>
      <xdr:spPr>
        <a:xfrm>
          <a:off x="624840" y="647700"/>
          <a:ext cx="1287780" cy="47244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Trainee Name:</a:t>
          </a:r>
        </a:p>
        <a:p>
          <a:pPr algn="l"/>
          <a:r>
            <a:rPr lang="en-US" sz="1200" b="1"/>
            <a:t>Jane</a:t>
          </a:r>
          <a:r>
            <a:rPr lang="en-US" sz="1200" b="1" baseline="0"/>
            <a:t> Doe</a:t>
          </a:r>
          <a:endParaRPr lang="en-US" sz="1200" b="1"/>
        </a:p>
      </xdr:txBody>
    </xdr:sp>
    <xdr:clientData/>
  </xdr:twoCellAnchor>
  <xdr:twoCellAnchor editAs="oneCell">
    <xdr:from>
      <xdr:col>2</xdr:col>
      <xdr:colOff>251460</xdr:colOff>
      <xdr:row>1</xdr:row>
      <xdr:rowOff>167640</xdr:rowOff>
    </xdr:from>
    <xdr:to>
      <xdr:col>3</xdr:col>
      <xdr:colOff>205740</xdr:colOff>
      <xdr:row>3</xdr:row>
      <xdr:rowOff>76200</xdr:rowOff>
    </xdr:to>
    <xdr:pic>
      <xdr:nvPicPr>
        <xdr:cNvPr id="7" name="Graphic 6" descr="Daily calendar with solid fill">
          <a:extLst>
            <a:ext uri="{FF2B5EF4-FFF2-40B4-BE49-F238E27FC236}">
              <a16:creationId xmlns:a16="http://schemas.microsoft.com/office/drawing/2014/main" id="{E65EF58D-EC85-CA48-1AB0-BC068F747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125980" y="533400"/>
          <a:ext cx="670560" cy="670560"/>
        </a:xfrm>
        <a:prstGeom prst="rect">
          <a:avLst/>
        </a:prstGeom>
      </xdr:spPr>
    </xdr:pic>
    <xdr:clientData/>
  </xdr:twoCellAnchor>
  <xdr:twoCellAnchor>
    <xdr:from>
      <xdr:col>3</xdr:col>
      <xdr:colOff>259080</xdr:colOff>
      <xdr:row>2</xdr:row>
      <xdr:rowOff>15240</xdr:rowOff>
    </xdr:from>
    <xdr:to>
      <xdr:col>4</xdr:col>
      <xdr:colOff>541020</xdr:colOff>
      <xdr:row>2</xdr:row>
      <xdr:rowOff>472440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71B689C-403C-44B9-F0DC-CADE34B2AD87}"/>
            </a:ext>
          </a:extLst>
        </xdr:cNvPr>
        <xdr:cNvSpPr/>
      </xdr:nvSpPr>
      <xdr:spPr>
        <a:xfrm>
          <a:off x="2827020" y="640080"/>
          <a:ext cx="1104900" cy="4572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Start Date:</a:t>
          </a:r>
        </a:p>
        <a:p>
          <a:pPr algn="l"/>
          <a:r>
            <a:rPr lang="en-US" sz="1200" b="1"/>
            <a:t>00/00/0000</a:t>
          </a:r>
        </a:p>
      </xdr:txBody>
    </xdr:sp>
    <xdr:clientData/>
  </xdr:twoCellAnchor>
  <xdr:twoCellAnchor editAs="oneCell">
    <xdr:from>
      <xdr:col>5</xdr:col>
      <xdr:colOff>91440</xdr:colOff>
      <xdr:row>1</xdr:row>
      <xdr:rowOff>91440</xdr:rowOff>
    </xdr:from>
    <xdr:to>
      <xdr:col>5</xdr:col>
      <xdr:colOff>777240</xdr:colOff>
      <xdr:row>3</xdr:row>
      <xdr:rowOff>15240</xdr:rowOff>
    </xdr:to>
    <xdr:pic>
      <xdr:nvPicPr>
        <xdr:cNvPr id="18" name="Graphic 17" descr="Clipboard Badge outline">
          <a:extLst>
            <a:ext uri="{FF2B5EF4-FFF2-40B4-BE49-F238E27FC236}">
              <a16:creationId xmlns:a16="http://schemas.microsoft.com/office/drawing/2014/main" id="{2E538703-B80C-68D7-1D67-7F25BC2A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59580" y="457200"/>
          <a:ext cx="693420" cy="693420"/>
        </a:xfrm>
        <a:prstGeom prst="rect">
          <a:avLst/>
        </a:prstGeom>
      </xdr:spPr>
    </xdr:pic>
    <xdr:clientData/>
  </xdr:twoCellAnchor>
  <xdr:twoCellAnchor>
    <xdr:from>
      <xdr:col>5</xdr:col>
      <xdr:colOff>807720</xdr:colOff>
      <xdr:row>2</xdr:row>
      <xdr:rowOff>0</xdr:rowOff>
    </xdr:from>
    <xdr:to>
      <xdr:col>8</xdr:col>
      <xdr:colOff>441960</xdr:colOff>
      <xdr:row>2</xdr:row>
      <xdr:rowOff>495300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28C29F3-A512-DC51-C1AA-DBCAF60C4E56}"/>
            </a:ext>
          </a:extLst>
        </xdr:cNvPr>
        <xdr:cNvSpPr/>
      </xdr:nvSpPr>
      <xdr:spPr>
        <a:xfrm>
          <a:off x="4693920" y="624840"/>
          <a:ext cx="1394460" cy="49530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Completetion Date:</a:t>
          </a:r>
        </a:p>
        <a:p>
          <a:pPr algn="l"/>
          <a:r>
            <a:rPr lang="en-US" sz="1200" b="1"/>
            <a:t>00/00/0000</a:t>
          </a:r>
        </a:p>
      </xdr:txBody>
    </xdr:sp>
    <xdr:clientData/>
  </xdr:twoCellAnchor>
  <xdr:twoCellAnchor editAs="oneCell">
    <xdr:from>
      <xdr:col>15</xdr:col>
      <xdr:colOff>594360</xdr:colOff>
      <xdr:row>0</xdr:row>
      <xdr:rowOff>99060</xdr:rowOff>
    </xdr:from>
    <xdr:to>
      <xdr:col>20</xdr:col>
      <xdr:colOff>264866</xdr:colOff>
      <xdr:row>2</xdr:row>
      <xdr:rowOff>440055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1CA7268-4F98-A601-0162-33E422162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3974" t="20513" r="-993" b="24103"/>
        <a:stretch>
          <a:fillRect/>
        </a:stretch>
      </xdr:blipFill>
      <xdr:spPr>
        <a:xfrm>
          <a:off x="10744200" y="99060"/>
          <a:ext cx="2646116" cy="9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15240</xdr:rowOff>
    </xdr:from>
    <xdr:to>
      <xdr:col>0</xdr:col>
      <xdr:colOff>744855</xdr:colOff>
      <xdr:row>7</xdr:row>
      <xdr:rowOff>167640</xdr:rowOff>
    </xdr:to>
    <xdr:pic>
      <xdr:nvPicPr>
        <xdr:cNvPr id="25" name="Graphic 24" descr="Clipboard Mixed outline">
          <a:extLst>
            <a:ext uri="{FF2B5EF4-FFF2-40B4-BE49-F238E27FC236}">
              <a16:creationId xmlns:a16="http://schemas.microsoft.com/office/drawing/2014/main" id="{41554C43-343F-3632-ECAB-8F15ACB4D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0" y="1333500"/>
          <a:ext cx="754380" cy="754380"/>
        </a:xfrm>
        <a:prstGeom prst="rect">
          <a:avLst/>
        </a:prstGeom>
      </xdr:spPr>
    </xdr:pic>
    <xdr:clientData/>
  </xdr:twoCellAnchor>
  <xdr:twoCellAnchor>
    <xdr:from>
      <xdr:col>0</xdr:col>
      <xdr:colOff>685800</xdr:colOff>
      <xdr:row>4</xdr:row>
      <xdr:rowOff>22860</xdr:rowOff>
    </xdr:from>
    <xdr:to>
      <xdr:col>1</xdr:col>
      <xdr:colOff>777240</xdr:colOff>
      <xdr:row>6</xdr:row>
      <xdr:rowOff>129540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6BC553A-8D6E-A2E3-8649-8D2EFFE51C7C}"/>
            </a:ext>
          </a:extLst>
        </xdr:cNvPr>
        <xdr:cNvSpPr/>
      </xdr:nvSpPr>
      <xdr:spPr>
        <a:xfrm>
          <a:off x="685800" y="1341120"/>
          <a:ext cx="1120140" cy="502920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TASKS COMPLETED:</a:t>
          </a:r>
        </a:p>
      </xdr:txBody>
    </xdr:sp>
    <xdr:clientData/>
  </xdr:twoCellAnchor>
  <xdr:twoCellAnchor editAs="oneCell">
    <xdr:from>
      <xdr:col>1</xdr:col>
      <xdr:colOff>708660</xdr:colOff>
      <xdr:row>3</xdr:row>
      <xdr:rowOff>144780</xdr:rowOff>
    </xdr:from>
    <xdr:to>
      <xdr:col>3</xdr:col>
      <xdr:colOff>19050</xdr:colOff>
      <xdr:row>8</xdr:row>
      <xdr:rowOff>19050</xdr:rowOff>
    </xdr:to>
    <xdr:pic>
      <xdr:nvPicPr>
        <xdr:cNvPr id="3" name="Graphic 2" descr="Hourglass 60% outline">
          <a:extLst>
            <a:ext uri="{FF2B5EF4-FFF2-40B4-BE49-F238E27FC236}">
              <a16:creationId xmlns:a16="http://schemas.microsoft.com/office/drawing/2014/main" id="{8EE641AF-DA61-5AE5-875B-BDB52027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37360" y="1272540"/>
          <a:ext cx="861060" cy="85344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4</xdr:row>
      <xdr:rowOff>91440</xdr:rowOff>
    </xdr:from>
    <xdr:to>
      <xdr:col>5</xdr:col>
      <xdr:colOff>171450</xdr:colOff>
      <xdr:row>8</xdr:row>
      <xdr:rowOff>129540</xdr:rowOff>
    </xdr:to>
    <xdr:pic>
      <xdr:nvPicPr>
        <xdr:cNvPr id="13" name="Graphic 12" descr="Internet outline">
          <a:extLst>
            <a:ext uri="{FF2B5EF4-FFF2-40B4-BE49-F238E27FC236}">
              <a16:creationId xmlns:a16="http://schemas.microsoft.com/office/drawing/2014/main" id="{CE4E49C4-79C0-343B-BEC1-AE5A47697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421380" y="1402080"/>
          <a:ext cx="845820" cy="845820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4</xdr:row>
      <xdr:rowOff>22860</xdr:rowOff>
    </xdr:from>
    <xdr:to>
      <xdr:col>9</xdr:col>
      <xdr:colOff>167640</xdr:colOff>
      <xdr:row>8</xdr:row>
      <xdr:rowOff>38100</xdr:rowOff>
    </xdr:to>
    <xdr:pic>
      <xdr:nvPicPr>
        <xdr:cNvPr id="15" name="Graphic 14" descr="Daily calendar outline">
          <a:extLst>
            <a:ext uri="{FF2B5EF4-FFF2-40B4-BE49-F238E27FC236}">
              <a16:creationId xmlns:a16="http://schemas.microsoft.com/office/drawing/2014/main" id="{2A0DEC44-D208-0A10-9489-BBB005158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577840" y="1333500"/>
          <a:ext cx="815340" cy="815340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</xdr:colOff>
      <xdr:row>4</xdr:row>
      <xdr:rowOff>0</xdr:rowOff>
    </xdr:from>
    <xdr:to>
      <xdr:col>12</xdr:col>
      <xdr:colOff>281940</xdr:colOff>
      <xdr:row>7</xdr:row>
      <xdr:rowOff>171450</xdr:rowOff>
    </xdr:to>
    <xdr:pic>
      <xdr:nvPicPr>
        <xdr:cNvPr id="17" name="Graphic 16" descr="Warning outline">
          <a:extLst>
            <a:ext uri="{FF2B5EF4-FFF2-40B4-BE49-F238E27FC236}">
              <a16:creationId xmlns:a16="http://schemas.microsoft.com/office/drawing/2014/main" id="{D3CB6926-931E-0F72-1883-200E8D4A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7772400" y="1310640"/>
          <a:ext cx="876300" cy="754380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</xdr:colOff>
      <xdr:row>4</xdr:row>
      <xdr:rowOff>22860</xdr:rowOff>
    </xdr:from>
    <xdr:to>
      <xdr:col>17</xdr:col>
      <xdr:colOff>209550</xdr:colOff>
      <xdr:row>7</xdr:row>
      <xdr:rowOff>173355</xdr:rowOff>
    </xdr:to>
    <xdr:pic>
      <xdr:nvPicPr>
        <xdr:cNvPr id="21" name="Graphic 20" descr="Ribbon with solid fill">
          <a:extLst>
            <a:ext uri="{FF2B5EF4-FFF2-40B4-BE49-F238E27FC236}">
              <a16:creationId xmlns:a16="http://schemas.microsoft.com/office/drawing/2014/main" id="{09FC7C4E-CFA5-DFEB-2CD6-4C756AEF9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0355580" y="1341120"/>
          <a:ext cx="754380" cy="754380"/>
        </a:xfrm>
        <a:prstGeom prst="rect">
          <a:avLst/>
        </a:prstGeom>
      </xdr:spPr>
    </xdr:pic>
    <xdr:clientData/>
  </xdr:twoCellAnchor>
  <xdr:twoCellAnchor>
    <xdr:from>
      <xdr:col>8</xdr:col>
      <xdr:colOff>7620</xdr:colOff>
      <xdr:row>11</xdr:row>
      <xdr:rowOff>0</xdr:rowOff>
    </xdr:from>
    <xdr:to>
      <xdr:col>19</xdr:col>
      <xdr:colOff>0</xdr:colOff>
      <xdr:row>24</xdr:row>
      <xdr:rowOff>53340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2D58AA-9091-D039-D2B7-AF4562C83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83820</xdr:colOff>
      <xdr:row>33</xdr:row>
      <xdr:rowOff>22860</xdr:rowOff>
    </xdr:from>
    <xdr:to>
      <xdr:col>0</xdr:col>
      <xdr:colOff>361950</xdr:colOff>
      <xdr:row>34</xdr:row>
      <xdr:rowOff>129540</xdr:rowOff>
    </xdr:to>
    <xdr:pic>
      <xdr:nvPicPr>
        <xdr:cNvPr id="6" name="Graphic 5" descr="Warning with solid fill">
          <a:extLst>
            <a:ext uri="{FF2B5EF4-FFF2-40B4-BE49-F238E27FC236}">
              <a16:creationId xmlns:a16="http://schemas.microsoft.com/office/drawing/2014/main" id="{29B93A84-21E7-81EC-8C6E-B55F173A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3820" y="7147560"/>
          <a:ext cx="281940" cy="281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529590</xdr:colOff>
      <xdr:row>0</xdr:row>
      <xdr:rowOff>57150</xdr:rowOff>
    </xdr:from>
    <xdr:to>
      <xdr:col>12</xdr:col>
      <xdr:colOff>366546</xdr:colOff>
      <xdr:row>8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547BF-12A8-46C8-BECA-B17B42E28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57150"/>
          <a:ext cx="3494556" cy="1685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7964805</xdr:colOff>
      <xdr:row>0</xdr:row>
      <xdr:rowOff>0</xdr:rowOff>
    </xdr:from>
    <xdr:to>
      <xdr:col>5</xdr:col>
      <xdr:colOff>355116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BD541-C3BA-4727-A70E-BF60DB715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185" y="0"/>
          <a:ext cx="3492651" cy="170688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F20FB16-C850-4847-B64B-A4895F2E7E48}"/>
  <namedSheetView name="View2" id="{3F13BCB6-28E0-4364-ADD7-FA78D52987D1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upervisorthree@unrealemail.com" TargetMode="External"/><Relationship Id="rId2" Type="http://schemas.openxmlformats.org/officeDocument/2006/relationships/hyperlink" Target="mailto:supervisortwo@unrealemail.com" TargetMode="External"/><Relationship Id="rId1" Type="http://schemas.openxmlformats.org/officeDocument/2006/relationships/hyperlink" Target="mailto:supervisorone@unreale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C769-6FFF-459E-97A0-D238EFD8A6A0}">
  <sheetPr>
    <pageSetUpPr fitToPage="1"/>
  </sheetPr>
  <dimension ref="A1:AE56"/>
  <sheetViews>
    <sheetView showGridLines="0" tabSelected="1" zoomScale="90" zoomScaleNormal="90" zoomScaleSheetLayoutView="100" workbookViewId="0">
      <selection activeCell="A46" sqref="A46:XFD1048576"/>
    </sheetView>
  </sheetViews>
  <sheetFormatPr defaultColWidth="0" defaultRowHeight="14.4" zeroHeight="1"/>
  <cols>
    <col min="1" max="1" width="15" customWidth="1"/>
    <col min="2" max="2" width="12.33203125" customWidth="1"/>
    <col min="3" max="3" width="10.44140625" customWidth="1"/>
    <col min="4" max="4" width="12" customWidth="1"/>
    <col min="5" max="5" width="10.44140625" customWidth="1"/>
    <col min="6" max="6" width="11.44140625" customWidth="1"/>
    <col min="7" max="7" width="10.44140625" customWidth="1"/>
    <col min="8" max="8" width="4.33203125" customWidth="1"/>
    <col min="9" max="9" width="8.44140625" customWidth="1"/>
    <col min="10" max="10" width="12.77734375" customWidth="1"/>
    <col min="11" max="11" width="11" customWidth="1"/>
    <col min="12" max="14" width="8.88671875" customWidth="1"/>
    <col min="15" max="15" width="5.88671875" customWidth="1"/>
    <col min="16" max="16" width="4.6640625" customWidth="1"/>
    <col min="17" max="18" width="8.88671875" customWidth="1"/>
    <col min="19" max="19" width="8.109375" customWidth="1"/>
    <col min="20" max="25" width="8.88671875" customWidth="1"/>
    <col min="26" max="26" width="11.5546875" bestFit="1" customWidth="1"/>
    <col min="27" max="16384" width="8.88671875" hidden="1"/>
  </cols>
  <sheetData>
    <row r="1" spans="1:26" ht="28.8">
      <c r="A1" s="30" t="s">
        <v>178</v>
      </c>
      <c r="B1" s="30"/>
      <c r="C1" s="30"/>
      <c r="D1" s="30"/>
      <c r="E1" s="30"/>
      <c r="F1" s="30"/>
      <c r="G1" s="30"/>
      <c r="H1" s="3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.399999999999999" customHeight="1">
      <c r="A2" s="96" t="s">
        <v>179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9.6" customHeight="1">
      <c r="A3" s="98"/>
      <c r="B3" s="98"/>
      <c r="C3" s="98"/>
      <c r="D3" s="98"/>
      <c r="E3" s="98"/>
      <c r="F3" s="4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thickBo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6" customHeight="1">
      <c r="A5" s="99" t="str">
        <f>COUNTIFS('Training Tracker'!B7:B200, "Completed") &amp; " out of " &amp; COUNTA('Training Tracker'!A7:A200)</f>
        <v>12 out of 19</v>
      </c>
      <c r="B5" s="100"/>
      <c r="C5" s="105" t="s">
        <v>183</v>
      </c>
      <c r="D5" s="106"/>
      <c r="E5" s="63"/>
      <c r="F5" s="111" t="s">
        <v>185</v>
      </c>
      <c r="G5" s="112"/>
      <c r="H5" s="61"/>
      <c r="I5" s="55"/>
      <c r="J5" s="119" t="s">
        <v>186</v>
      </c>
      <c r="K5" s="120"/>
      <c r="L5" s="56"/>
      <c r="M5" s="127" t="s">
        <v>184</v>
      </c>
      <c r="N5" s="127"/>
      <c r="O5" s="128"/>
      <c r="P5" s="14"/>
      <c r="Q5" s="66"/>
      <c r="R5" s="127" t="s">
        <v>187</v>
      </c>
      <c r="S5" s="135"/>
      <c r="T5" s="136"/>
      <c r="U5" s="14"/>
      <c r="V5" s="14"/>
      <c r="W5" s="14"/>
      <c r="X5" s="14"/>
      <c r="Y5" s="14"/>
      <c r="Z5" s="14"/>
    </row>
    <row r="6" spans="1:26" ht="15.6" customHeight="1">
      <c r="A6" s="101"/>
      <c r="B6" s="102"/>
      <c r="C6" s="107"/>
      <c r="D6" s="108"/>
      <c r="E6" s="54"/>
      <c r="F6" s="113"/>
      <c r="G6" s="114"/>
      <c r="H6" s="62"/>
      <c r="I6" s="57"/>
      <c r="J6" s="121"/>
      <c r="K6" s="122"/>
      <c r="L6" s="53"/>
      <c r="M6" s="129"/>
      <c r="N6" s="129"/>
      <c r="O6" s="130"/>
      <c r="P6" s="14"/>
      <c r="Q6" s="67"/>
      <c r="R6" s="137"/>
      <c r="S6" s="137"/>
      <c r="T6" s="138"/>
      <c r="U6" s="14"/>
      <c r="V6" s="14"/>
      <c r="W6" s="14"/>
      <c r="X6" s="14"/>
      <c r="Y6" s="14"/>
      <c r="Z6" s="14"/>
    </row>
    <row r="7" spans="1:26" ht="15.6" customHeight="1">
      <c r="A7" s="101"/>
      <c r="B7" s="102"/>
      <c r="C7" s="50"/>
      <c r="D7" s="109">
        <f>COUNTIFS('Training Tracker'!B7:B200, "In Progress")</f>
        <v>5</v>
      </c>
      <c r="E7" s="54"/>
      <c r="F7" s="115">
        <f>COUNTIFS('Systems Access'!B2:B200,TRUE,'Systems Access'!D2:D200,"&lt;&gt;True")/COUNTIFS('Systems Access'!D2:D200,"&lt;&gt;True",'Systems Access'!A2:A200,"&lt;&gt;")</f>
        <v>0.72</v>
      </c>
      <c r="G7" s="116"/>
      <c r="H7" s="61"/>
      <c r="I7" s="58"/>
      <c r="J7" s="123">
        <f>(COUNTIF('Day One'!C10:C22,TRUE)+COUNTIF('Day Two'!C16:C22,TRUE)+COUNTIF('Day Three'!C16:C20,TRUE)+COUNTIF('Day Four'!C14:C20,TRUE)+COUNTIF('Day Five'!C16:C21,TRUE)+COUNTIF('Day Six'!C16:C21,TRUE))/(COUNTA('Day One'!C10:C22)+COUNTA('Day Two'!C16:C22)+COUNTA('Day Three'!C16:C20)+COUNTA('Day Four'!C14:C20)+COUNTA('Day Five'!C16:C21)+COUNTA('Day Six'!C16:C21))</f>
        <v>0.47727272727272729</v>
      </c>
      <c r="K7" s="124"/>
      <c r="L7" s="53"/>
      <c r="M7" s="131">
        <f ca="1">COUNTIFS('Training Tracker'!D7:D200,"&lt;"&amp;TODAY(),'Training Tracker'!B7:B200,"&lt;&gt;Completed",'Training Tracker'!A7:A200,"&lt;&gt;")</f>
        <v>7</v>
      </c>
      <c r="N7" s="131"/>
      <c r="O7" s="132"/>
      <c r="P7" s="14"/>
      <c r="Q7" s="67"/>
      <c r="R7" s="139" t="str">
        <f ca="1">IF(AND(Z37&gt;=85%,Z38&gt;=90%,Z39&gt;=85%,Z40&lt;=2),"READY",IF(AND(Z37&gt;=70%,Z38&gt;=75%,Z39&gt;=70%),"IN PROGRESS","Further Training Needed"))</f>
        <v>Further Training Needed</v>
      </c>
      <c r="S7" s="139"/>
      <c r="T7" s="140"/>
      <c r="U7" s="14"/>
      <c r="V7" s="14"/>
      <c r="W7" s="14"/>
      <c r="X7" s="14"/>
      <c r="Y7" s="14"/>
      <c r="Z7" s="14"/>
    </row>
    <row r="8" spans="1:26" ht="16.2" customHeight="1" thickBot="1">
      <c r="A8" s="103"/>
      <c r="B8" s="104"/>
      <c r="C8" s="64"/>
      <c r="D8" s="110"/>
      <c r="E8" s="65"/>
      <c r="F8" s="117"/>
      <c r="G8" s="118"/>
      <c r="H8" s="61"/>
      <c r="I8" s="59"/>
      <c r="J8" s="125"/>
      <c r="K8" s="126"/>
      <c r="L8" s="60"/>
      <c r="M8" s="133"/>
      <c r="N8" s="133"/>
      <c r="O8" s="134"/>
      <c r="P8" s="14"/>
      <c r="Q8" s="68"/>
      <c r="R8" s="141"/>
      <c r="S8" s="141"/>
      <c r="T8" s="142"/>
      <c r="U8" s="14"/>
      <c r="V8" s="14"/>
      <c r="W8" s="14"/>
      <c r="X8" s="14"/>
      <c r="Y8" s="14"/>
      <c r="Z8" s="14"/>
    </row>
    <row r="9" spans="1:26" ht="15.6">
      <c r="A9" s="43"/>
      <c r="B9" s="44"/>
      <c r="C9" s="31"/>
      <c r="D9" s="43"/>
      <c r="E9" s="31"/>
      <c r="F9" s="31"/>
      <c r="G9" s="43"/>
      <c r="H9" s="31"/>
      <c r="I9" s="31"/>
      <c r="J9" s="32"/>
      <c r="K9" s="32"/>
      <c r="L9" s="3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8.600000000000001" thickBot="1">
      <c r="A10" s="33"/>
      <c r="B10" s="34"/>
      <c r="C10" s="35"/>
      <c r="D10" s="36"/>
      <c r="E10" s="35"/>
      <c r="F10" s="35"/>
      <c r="G10" s="35"/>
      <c r="H10" s="32"/>
      <c r="I10" s="32"/>
      <c r="J10" s="32"/>
      <c r="K10" s="32"/>
      <c r="L10" s="32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9.8" customHeight="1" thickTop="1" thickBot="1">
      <c r="A11" s="203" t="s">
        <v>200</v>
      </c>
      <c r="B11" s="204"/>
      <c r="C11" s="204"/>
      <c r="D11" s="204"/>
      <c r="E11" s="204"/>
      <c r="F11" s="204"/>
      <c r="G11" s="205"/>
      <c r="H11" s="14"/>
      <c r="I11" s="155" t="s">
        <v>223</v>
      </c>
      <c r="J11" s="156"/>
      <c r="K11" s="156"/>
      <c r="L11" s="156"/>
      <c r="M11" s="156"/>
      <c r="N11" s="156"/>
      <c r="O11" s="156"/>
      <c r="P11" s="156"/>
      <c r="Q11" s="156"/>
      <c r="R11" s="156"/>
      <c r="S11" s="157"/>
      <c r="T11" s="14" t="s">
        <v>189</v>
      </c>
      <c r="U11" s="14"/>
      <c r="V11" s="14"/>
      <c r="W11" s="14"/>
      <c r="X11" s="14"/>
      <c r="Y11" s="14"/>
      <c r="Z11" s="14"/>
    </row>
    <row r="12" spans="1:26" ht="16.2" thickTop="1">
      <c r="A12" s="206" t="s">
        <v>114</v>
      </c>
      <c r="B12" s="207"/>
      <c r="C12" s="208" t="s">
        <v>115</v>
      </c>
      <c r="D12" s="207"/>
      <c r="E12" s="209" t="s">
        <v>190</v>
      </c>
      <c r="F12" s="210"/>
      <c r="G12" s="75" t="s">
        <v>117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93" t="str" cm="1">
        <f t="array" ref="A13">IFERROR(INDEX('Training Tracker'!$A7:$A200,ROWS($A13:A13)),"")</f>
        <v>TASK 1</v>
      </c>
      <c r="B13" s="94"/>
      <c r="C13" s="95" t="str" cm="1">
        <f t="array" ref="C13">IFERROR(INDEX('Training Tracker'!$B7:$B200,ROWS($C13:C13)),"")</f>
        <v>Not Started</v>
      </c>
      <c r="D13" s="94"/>
      <c r="E13" s="92" t="str" cm="1">
        <f t="array" ref="E13">IFERROR(INDEX('Training Tracker'!$F7:$F200,ROWS(Dashboard!$E13:E13)),"")</f>
        <v>High</v>
      </c>
      <c r="F13" s="92"/>
      <c r="G13" s="76" cm="1">
        <f t="array" ref="G13">IFERROR(INDEX('Training Tracker'!$D7:$D200,ROWS(Dashboard!$G13:G13)),"")</f>
        <v>46142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93" t="str" cm="1">
        <f t="array" ref="A14">IFERROR(INDEX('Training Tracker'!$A8:$A201,ROWS($A14:A14)),"")</f>
        <v>TASK 2</v>
      </c>
      <c r="B14" s="94"/>
      <c r="C14" s="95" t="str" cm="1">
        <f t="array" ref="C14">IFERROR(INDEX('Training Tracker'!$B8:$B201,ROWS($C14:C14)),"")</f>
        <v>In Progress</v>
      </c>
      <c r="D14" s="94"/>
      <c r="E14" s="92" t="str" cm="1">
        <f t="array" ref="E14">IFERROR(INDEX('Training Tracker'!$F8:$F201,ROWS(Dashboard!$E14:E14)),"")</f>
        <v>Low</v>
      </c>
      <c r="F14" s="92"/>
      <c r="G14" s="76" cm="1">
        <f t="array" ref="G14">IFERROR(INDEX('Training Tracker'!$D8:$D201,ROWS(Dashboard!$G14:G14)),"")</f>
        <v>46132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93" t="str" cm="1">
        <f t="array" ref="A15">IFERROR(INDEX('Training Tracker'!$A9:$A202,ROWS($A15:A15)),"")</f>
        <v>TASK 3</v>
      </c>
      <c r="B15" s="94"/>
      <c r="C15" s="95" t="str" cm="1">
        <f t="array" ref="C15">IFERROR(INDEX('Training Tracker'!$B9:$B202,ROWS($C15:C15)),"")</f>
        <v>Completed</v>
      </c>
      <c r="D15" s="94"/>
      <c r="E15" s="92" t="str" cm="1">
        <f t="array" ref="E15">IFERROR(INDEX('Training Tracker'!$F9:$F202,ROWS(Dashboard!$E15:E15)),"")</f>
        <v>High</v>
      </c>
      <c r="F15" s="92"/>
      <c r="G15" s="76" cm="1">
        <f t="array" ref="G15">IFERROR(INDEX('Training Tracker'!$D9:$D202,ROWS(Dashboard!$G15:G15)),"")</f>
        <v>46172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93" t="str" cm="1">
        <f t="array" ref="A16">IFERROR(INDEX('Training Tracker'!$A10:$A203,ROWS($A16:A16)),"")</f>
        <v>TASK 4</v>
      </c>
      <c r="B16" s="94"/>
      <c r="C16" s="95" t="str" cm="1">
        <f t="array" ref="C16">IFERROR(INDEX('Training Tracker'!$B10:$B203,ROWS($C16:C16)),"")</f>
        <v>Completed</v>
      </c>
      <c r="D16" s="94"/>
      <c r="E16" s="92" t="str" cm="1">
        <f t="array" ref="E16">IFERROR(INDEX('Training Tracker'!$F10:$F203,ROWS(Dashboard!$E16:E16)),"")</f>
        <v>High</v>
      </c>
      <c r="F16" s="92"/>
      <c r="G16" s="76" cm="1">
        <f t="array" ref="G16">IFERROR(INDEX('Training Tracker'!$D10:$D203,ROWS(Dashboard!$G16:G16)),"")</f>
        <v>46172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31">
      <c r="A17" s="93" t="str" cm="1">
        <f t="array" ref="A17">IFERROR(INDEX('Training Tracker'!$A11:$A204,ROWS($A17:A17)),"")</f>
        <v>TASK 5</v>
      </c>
      <c r="B17" s="94"/>
      <c r="C17" s="95" t="str" cm="1">
        <f t="array" ref="C17">IFERROR(INDEX('Training Tracker'!$B11:$B204,ROWS($C17:C17)),"")</f>
        <v>In Progress</v>
      </c>
      <c r="D17" s="94"/>
      <c r="E17" s="92" t="str" cm="1">
        <f t="array" ref="E17">IFERROR(INDEX('Training Tracker'!$F11:$F204,ROWS(Dashboard!$E17:E17)),"")</f>
        <v>High</v>
      </c>
      <c r="F17" s="92"/>
      <c r="G17" s="76" cm="1">
        <f t="array" ref="G17">IFERROR(INDEX('Training Tracker'!$D11:$D204,ROWS(Dashboard!$G17:G17)),"")</f>
        <v>46172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31">
      <c r="A18" s="93" t="str" cm="1">
        <f t="array" ref="A18">IFERROR(INDEX('Training Tracker'!$A12:$A205,ROWS($A18:A18)),"")</f>
        <v>TASK 6</v>
      </c>
      <c r="B18" s="94"/>
      <c r="C18" s="95" t="str" cm="1">
        <f t="array" ref="C18">IFERROR(INDEX('Training Tracker'!$B12:$B205,ROWS($C18:C18)),"")</f>
        <v>Completed</v>
      </c>
      <c r="D18" s="94"/>
      <c r="E18" s="92" t="str" cm="1">
        <f t="array" ref="E18">IFERROR(INDEX('Training Tracker'!$F12:$F205,ROWS(Dashboard!$E18:E18)),"")</f>
        <v>Medium</v>
      </c>
      <c r="F18" s="92"/>
      <c r="G18" s="76" cm="1">
        <f t="array" ref="G18">IFERROR(INDEX('Training Tracker'!$D12:$D205,ROWS(Dashboard!$G18:G18)),"")</f>
        <v>46172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31">
      <c r="A19" s="93" t="str" cm="1">
        <f t="array" ref="A19">IFERROR(INDEX('Training Tracker'!$A13:$A206,ROWS($A19:A19)),"")</f>
        <v>TASK 7</v>
      </c>
      <c r="B19" s="94"/>
      <c r="C19" s="95" t="str" cm="1">
        <f t="array" ref="C19">IFERROR(INDEX('Training Tracker'!$B13:$B206,ROWS($C19:C19)),"")</f>
        <v>In Progress</v>
      </c>
      <c r="D19" s="94"/>
      <c r="E19" s="92" t="str" cm="1">
        <f t="array" ref="E19">IFERROR(INDEX('Training Tracker'!$F13:$F206,ROWS(Dashboard!$E19:E19)),"")</f>
        <v>High</v>
      </c>
      <c r="F19" s="92"/>
      <c r="G19" s="76" cm="1">
        <f t="array" ref="G19">IFERROR(INDEX('Training Tracker'!$D13:$D206,ROWS(Dashboard!$G19:G19)),"")</f>
        <v>46172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31">
      <c r="A20" s="93" t="str" cm="1">
        <f t="array" ref="A20">IFERROR(INDEX('Training Tracker'!$A14:$A207,ROWS($A20:A20)),"")</f>
        <v>TASK 8</v>
      </c>
      <c r="B20" s="94"/>
      <c r="C20" s="95" t="str" cm="1">
        <f t="array" ref="C20">IFERROR(INDEX('Training Tracker'!$B14:$B207,ROWS($C20:C20)),"")</f>
        <v>Completed</v>
      </c>
      <c r="D20" s="94"/>
      <c r="E20" s="92" t="str" cm="1">
        <f t="array" ref="E20">IFERROR(INDEX('Training Tracker'!$F14:$F207,ROWS(Dashboard!$E20:E20)),"")</f>
        <v>Medium</v>
      </c>
      <c r="F20" s="92"/>
      <c r="G20" s="76" cm="1">
        <f t="array" ref="G20">IFERROR(INDEX('Training Tracker'!$D14:$D207,ROWS(Dashboard!$G20:G20)),"")</f>
        <v>46172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31">
      <c r="A21" s="93" t="str" cm="1">
        <f t="array" ref="A21">IFERROR(INDEX('Training Tracker'!$A15:$A208,ROWS($A21:A21)),"")</f>
        <v>TASK 9</v>
      </c>
      <c r="B21" s="94"/>
      <c r="C21" s="95" t="str" cm="1">
        <f t="array" ref="C21">IFERROR(INDEX('Training Tracker'!$B15:$B208,ROWS($C21:C21)),"")</f>
        <v>Completed</v>
      </c>
      <c r="D21" s="94"/>
      <c r="E21" s="92" t="str" cm="1">
        <f t="array" ref="E21">IFERROR(INDEX('Training Tracker'!$F15:$F208,ROWS(Dashboard!$E21:E21)),"")</f>
        <v>Medium</v>
      </c>
      <c r="F21" s="92"/>
      <c r="G21" s="76" cm="1">
        <f t="array" ref="G21">IFERROR(INDEX('Training Tracker'!$D15:$D208,ROWS(Dashboard!$G21:G21)),"")</f>
        <v>46172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31">
      <c r="A22" s="93" t="str" cm="1">
        <f t="array" ref="A22">IFERROR(INDEX('Training Tracker'!$A16:$A209,ROWS($A22:A22)),"")</f>
        <v xml:space="preserve">TASK 10 </v>
      </c>
      <c r="B22" s="94"/>
      <c r="C22" s="95" t="str" cm="1">
        <f t="array" ref="C22">IFERROR(INDEX('Training Tracker'!$B16:$B209,ROWS($C22:C22)),"")</f>
        <v>In Progress</v>
      </c>
      <c r="D22" s="94"/>
      <c r="E22" s="92" t="str" cm="1">
        <f t="array" ref="E22">IFERROR(INDEX('Training Tracker'!$F16:$F209,ROWS(Dashboard!$E22:E22)),"")</f>
        <v>Low</v>
      </c>
      <c r="F22" s="92"/>
      <c r="G22" s="76" cm="1">
        <f t="array" ref="G22">IFERROR(INDEX('Training Tracker'!$D16:$D209,ROWS(Dashboard!$G22:G22)),"")</f>
        <v>46147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31">
      <c r="A23" s="93" t="str" cm="1">
        <f t="array" ref="A23">IFERROR(INDEX('Training Tracker'!$A17:$A210,ROWS($A23:A23)),"")</f>
        <v xml:space="preserve">TASK 11 </v>
      </c>
      <c r="B23" s="94"/>
      <c r="C23" s="95" t="str" cm="1">
        <f t="array" ref="C23">IFERROR(INDEX('Training Tracker'!$B17:$B210,ROWS($C23:C23)),"")</f>
        <v>Completed</v>
      </c>
      <c r="D23" s="94"/>
      <c r="E23" s="92" t="str" cm="1">
        <f t="array" ref="E23">IFERROR(INDEX('Training Tracker'!$F17:$F210,ROWS(Dashboard!$E23:E23)),"")</f>
        <v>Medium</v>
      </c>
      <c r="F23" s="92"/>
      <c r="G23" s="76" cm="1">
        <f t="array" ref="G23">IFERROR(INDEX('Training Tracker'!$D17:$D210,ROWS(Dashboard!$G23:G23)),"")</f>
        <v>46172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31" ht="15" thickBot="1">
      <c r="A24" s="82" t="str" cm="1">
        <f t="array" ref="A24">IFERROR(INDEX('Training Tracker'!$A18:$A211,ROWS($A24:A24)),"")</f>
        <v>TASK 12</v>
      </c>
      <c r="B24" s="83"/>
      <c r="C24" s="84" t="str" cm="1">
        <f t="array" ref="C24">IFERROR(INDEX('Training Tracker'!$B18:$B211,ROWS($C24:C24)),"")</f>
        <v>Not Started</v>
      </c>
      <c r="D24" s="83"/>
      <c r="E24" s="85" t="str" cm="1">
        <f t="array" ref="E24">IFERROR(INDEX('Training Tracker'!$F18:$F211,ROWS(Dashboard!$E24:E24)),"")</f>
        <v>Medium</v>
      </c>
      <c r="F24" s="86"/>
      <c r="G24" s="77" cm="1">
        <f t="array" ref="G24">IFERROR(INDEX('Training Tracker'!$D18:$D211,ROWS(Dashboard!$G24:G24)),"")</f>
        <v>46143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31" ht="15" thickTop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31" ht="15" thickBo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31" ht="21" customHeight="1" thickTop="1" thickBot="1">
      <c r="A27" s="87" t="s">
        <v>198</v>
      </c>
      <c r="B27" s="88"/>
      <c r="C27" s="88"/>
      <c r="D27" s="88"/>
      <c r="E27" s="89"/>
      <c r="F27" s="14"/>
      <c r="G27" s="179" t="s">
        <v>197</v>
      </c>
      <c r="H27" s="180"/>
      <c r="I27" s="180"/>
      <c r="J27" s="180"/>
      <c r="K27" s="181"/>
      <c r="L27" s="14"/>
      <c r="M27" s="185" t="s">
        <v>226</v>
      </c>
      <c r="N27" s="186"/>
      <c r="O27" s="186"/>
      <c r="P27" s="186"/>
      <c r="Q27" s="186"/>
      <c r="R27" s="187"/>
      <c r="S27" s="14"/>
      <c r="T27" s="14"/>
      <c r="U27" s="14"/>
      <c r="V27" s="14"/>
      <c r="W27" s="14"/>
      <c r="X27" s="14"/>
      <c r="Y27" s="14"/>
      <c r="Z27" s="14"/>
    </row>
    <row r="28" spans="1:31" ht="16.2" thickTop="1">
      <c r="A28" s="80" t="s">
        <v>114</v>
      </c>
      <c r="B28" s="81"/>
      <c r="C28" s="90" t="s">
        <v>201</v>
      </c>
      <c r="D28" s="91"/>
      <c r="E28" s="78" t="s">
        <v>190</v>
      </c>
      <c r="F28" s="14"/>
      <c r="G28" s="182"/>
      <c r="H28" s="183"/>
      <c r="I28" s="183"/>
      <c r="J28" s="183"/>
      <c r="K28" s="184"/>
      <c r="L28" s="14"/>
      <c r="M28" s="188"/>
      <c r="N28" s="189"/>
      <c r="O28" s="189"/>
      <c r="P28" s="189"/>
      <c r="Q28" s="189"/>
      <c r="R28" s="190"/>
      <c r="S28" s="14"/>
      <c r="T28" s="14"/>
      <c r="U28" s="14"/>
      <c r="V28" s="14"/>
      <c r="W28" s="14"/>
      <c r="X28" s="14"/>
      <c r="Y28" s="14"/>
      <c r="Z28" s="14"/>
    </row>
    <row r="29" spans="1:31" ht="17.399999999999999" customHeight="1">
      <c r="A29" s="151" t="str" cm="1">
        <f t="array" aca="1" ref="A29" ca="1">IFERROR(INDEX(_xlfn._xlws.FILTER('Training Tracker'!A$7:A$200,('Training Tracker'!D$7:D$200&lt;TODAY())*(('Training Tracker'!B$7:B$200="Not Started")+('Training Tracker'!B$7:B$200="In Progress"))),ROWS($A$29:A29)),"")</f>
        <v>TASK 1</v>
      </c>
      <c r="B29" s="152"/>
      <c r="C29" s="153" cm="1">
        <f t="array" aca="1" ref="C29" ca="1">IFERROR(INDEX(_xlfn._xlws.FILTER(TODAY()-'Training Tracker'!D$7:D$200,('Training Tracker'!D$7:D$200&lt;TODAY())*(('Training Tracker'!B$7:B$200="Not Started")+('Training Tracker'!B$7:B$200="In Progress"))),ROWS($C$29:C29)),"")</f>
        <v>112</v>
      </c>
      <c r="D29" s="154"/>
      <c r="E29" s="79" t="str" cm="1">
        <f t="array" aca="1" ref="E29" ca="1">IFERROR(INDEX(_xlfn._xlws.FILTER('Training Tracker'!F$7:F$200,('Training Tracker'!D$7:D$200&lt;TODAY())*(('Training Tracker'!B$7:B$200="Not Started")+('Training Tracker'!B$7:B$200="In Progress"))),ROWS($E$29:E29)),"")</f>
        <v>High</v>
      </c>
      <c r="F29" s="14"/>
      <c r="G29" s="161" t="str">
        <f>IF(Z36&lt;90%,"⚠ "&amp;ROUND((1-Z36)*100,0)&amp;"% of system access is still incomplete. Follow up with IT/Admin.","✓ System access setup is on track.")</f>
        <v>✓ System access setup is on track.</v>
      </c>
      <c r="H29" s="162"/>
      <c r="I29" s="162"/>
      <c r="J29" s="162"/>
      <c r="K29" s="163"/>
      <c r="L29" s="14"/>
      <c r="M29" s="191" t="str">
        <f>Z45</f>
        <v>JUST GETTING STARTED!</v>
      </c>
      <c r="N29" s="192"/>
      <c r="O29" s="192"/>
      <c r="P29" s="192"/>
      <c r="Q29" s="192"/>
      <c r="R29" s="193"/>
      <c r="S29" s="14"/>
      <c r="T29" s="14"/>
      <c r="U29" s="14"/>
      <c r="V29" s="14"/>
      <c r="W29" s="14"/>
      <c r="X29" s="14"/>
      <c r="Y29" s="14"/>
      <c r="Z29" s="14"/>
    </row>
    <row r="30" spans="1:31" ht="17.399999999999999" customHeight="1">
      <c r="A30" s="149" t="str" cm="1">
        <f t="array" aca="1" ref="A30" ca="1">IFERROR(INDEX(_xlfn._xlws.FILTER('Training Tracker'!A$7:A$200,('Training Tracker'!D$7:D$200&lt;TODAY())*(('Training Tracker'!B$7:B$200="Not Started")+('Training Tracker'!B$7:B$200="In Progress"))),ROWS($A$29:A30)),"")</f>
        <v>TASK 2</v>
      </c>
      <c r="B30" s="150"/>
      <c r="C30" s="153" cm="1">
        <f t="array" aca="1" ref="C30" ca="1">IFERROR(INDEX(_xlfn._xlws.FILTER(TODAY()-'Training Tracker'!D$7:D$200,('Training Tracker'!D$7:D$200&lt;TODAY())*(('Training Tracker'!B$7:B$200="Not Started")+('Training Tracker'!B$7:B$200="In Progress"))),ROWS($C$29:C30)),"")</f>
        <v>122</v>
      </c>
      <c r="D30" s="154"/>
      <c r="E30" s="79" t="str" cm="1">
        <f t="array" aca="1" ref="E30" ca="1">IFERROR(INDEX(_xlfn._xlws.FILTER('Training Tracker'!F$7:F$200,('Training Tracker'!D$7:D$200&lt;TODAY())*(('Training Tracker'!B$7:B$200="Not Started")+('Training Tracker'!B$7:B$200="In Progress"))),ROWS($E$29:E30)),"")</f>
        <v>Low</v>
      </c>
      <c r="F30" s="14"/>
      <c r="G30" s="164"/>
      <c r="H30" s="165"/>
      <c r="I30" s="165"/>
      <c r="J30" s="165"/>
      <c r="K30" s="166"/>
      <c r="L30" s="14"/>
      <c r="M30" s="194"/>
      <c r="N30" s="195"/>
      <c r="O30" s="195"/>
      <c r="P30" s="195"/>
      <c r="Q30" s="195"/>
      <c r="R30" s="196"/>
      <c r="S30" s="14"/>
      <c r="T30" s="14"/>
      <c r="U30" s="14"/>
      <c r="V30" s="14"/>
      <c r="W30" s="14"/>
      <c r="X30" s="14"/>
      <c r="Y30" s="14"/>
      <c r="Z30" s="14"/>
    </row>
    <row r="31" spans="1:31" ht="17.399999999999999" customHeight="1">
      <c r="A31" s="151" t="str" cm="1">
        <f t="array" aca="1" ref="A31" ca="1">IFERROR(INDEX(_xlfn._xlws.FILTER('Training Tracker'!A$7:A$200,('Training Tracker'!D$7:D$200&lt;TODAY())*(('Training Tracker'!B$7:B$200="Not Started")+('Training Tracker'!B$7:B$200="In Progress"))),ROWS($A$29:A31)),"")</f>
        <v>TASK 5</v>
      </c>
      <c r="B31" s="152"/>
      <c r="C31" s="153" cm="1">
        <f t="array" aca="1" ref="C31" ca="1">IFERROR(INDEX(_xlfn._xlws.FILTER(TODAY()-'Training Tracker'!D$7:D$200,('Training Tracker'!D$7:D$200&lt;TODAY())*(('Training Tracker'!B$7:B$200="Not Started")+('Training Tracker'!B$7:B$200="In Progress"))),ROWS($C$29:C31)),"")</f>
        <v>82</v>
      </c>
      <c r="D31" s="154"/>
      <c r="E31" s="79" t="str" cm="1">
        <f t="array" aca="1" ref="E31" ca="1">IFERROR(INDEX(_xlfn._xlws.FILTER('Training Tracker'!F$7:F$200,('Training Tracker'!D$7:D$200&lt;TODAY())*(('Training Tracker'!B$7:B$200="Not Started")+('Training Tracker'!B$7:B$200="In Progress"))),ROWS($E$29:E31)),"")</f>
        <v>High</v>
      </c>
      <c r="F31" s="14"/>
      <c r="G31" s="167" t="str">
        <f ca="1">IF(Z43&gt;0,"⚠ "&amp;Z43&amp;" overdue task(s) need immediate attention.","✓ No overdue tasks detected.")</f>
        <v>⚠ 7 overdue task(s) need immediate attention.</v>
      </c>
      <c r="H31" s="168"/>
      <c r="I31" s="168"/>
      <c r="J31" s="168"/>
      <c r="K31" s="169"/>
      <c r="L31" s="14"/>
      <c r="M31" s="194"/>
      <c r="N31" s="195"/>
      <c r="O31" s="195"/>
      <c r="P31" s="195"/>
      <c r="Q31" s="195"/>
      <c r="R31" s="196"/>
      <c r="S31" s="14"/>
      <c r="T31" s="14"/>
      <c r="U31" s="14"/>
      <c r="V31" s="14"/>
      <c r="W31" s="14"/>
      <c r="X31" s="216"/>
      <c r="Y31" s="216"/>
      <c r="Z31" s="216"/>
      <c r="AA31" s="217"/>
      <c r="AB31" s="217"/>
      <c r="AC31" s="217"/>
      <c r="AD31" s="217"/>
      <c r="AE31" s="217"/>
    </row>
    <row r="32" spans="1:31" ht="17.399999999999999" customHeight="1">
      <c r="A32" s="151" t="str" cm="1">
        <f t="array" aca="1" ref="A32" ca="1">IFERROR(INDEX(_xlfn._xlws.FILTER('Training Tracker'!A$7:A$200,('Training Tracker'!D$7:D$200&lt;TODAY())*(('Training Tracker'!B$7:B$200="Not Started")+('Training Tracker'!B$7:B$200="In Progress"))),ROWS($A$29:A32)),"")</f>
        <v>TASK 7</v>
      </c>
      <c r="B32" s="152"/>
      <c r="C32" s="153" cm="1">
        <f t="array" aca="1" ref="C32" ca="1">IFERROR(INDEX(_xlfn._xlws.FILTER(TODAY()-'Training Tracker'!D$7:D$200,('Training Tracker'!D$7:D$200&lt;TODAY())*(('Training Tracker'!B$7:B$200="Not Started")+('Training Tracker'!B$7:B$200="In Progress"))),ROWS($C$29:C32)),"")</f>
        <v>82</v>
      </c>
      <c r="D32" s="154"/>
      <c r="E32" s="79" t="str" cm="1">
        <f t="array" aca="1" ref="E32" ca="1">IFERROR(INDEX(_xlfn._xlws.FILTER('Training Tracker'!F$7:F$200,('Training Tracker'!D$7:D$200&lt;TODAY())*(('Training Tracker'!B$7:B$200="Not Started")+('Training Tracker'!B$7:B$200="In Progress"))),ROWS($E$29:E32)),"")</f>
        <v>High</v>
      </c>
      <c r="F32" s="14"/>
      <c r="G32" s="170"/>
      <c r="H32" s="171"/>
      <c r="I32" s="171"/>
      <c r="J32" s="171"/>
      <c r="K32" s="172"/>
      <c r="L32" s="14"/>
      <c r="M32" s="194"/>
      <c r="N32" s="195"/>
      <c r="O32" s="195"/>
      <c r="P32" s="195"/>
      <c r="Q32" s="195"/>
      <c r="R32" s="196"/>
      <c r="S32" s="14"/>
      <c r="T32" s="14"/>
      <c r="U32" s="14"/>
      <c r="V32" s="14"/>
      <c r="W32" s="14"/>
      <c r="X32" s="216"/>
      <c r="Y32" s="216"/>
      <c r="Z32" s="216"/>
      <c r="AA32" s="217"/>
      <c r="AB32" s="217"/>
      <c r="AC32" s="217"/>
      <c r="AD32" s="217"/>
      <c r="AE32" s="217"/>
    </row>
    <row r="33" spans="1:31" ht="17.399999999999999" customHeight="1">
      <c r="A33" s="151" t="str" cm="1">
        <f t="array" aca="1" ref="A33" ca="1">IFERROR(INDEX(_xlfn._xlws.FILTER('Training Tracker'!A$7:A$200,('Training Tracker'!D$7:D$200&lt;TODAY())*(('Training Tracker'!B$7:B$200="Not Started")+('Training Tracker'!B$7:B$200="In Progress"))),ROWS($A$29:A33)),"")</f>
        <v xml:space="preserve">TASK 10 </v>
      </c>
      <c r="B33" s="152"/>
      <c r="C33" s="153" cm="1">
        <f t="array" aca="1" ref="C33" ca="1">IFERROR(INDEX(_xlfn._xlws.FILTER(TODAY()-'Training Tracker'!D$7:D$200,('Training Tracker'!D$7:D$200&lt;TODAY())*(('Training Tracker'!B$7:B$200="Not Started")+('Training Tracker'!B$7:B$200="In Progress"))),ROWS($C$29:C33)),"")</f>
        <v>107</v>
      </c>
      <c r="D33" s="154"/>
      <c r="E33" s="79" t="str" cm="1">
        <f t="array" aca="1" ref="E33" ca="1">IFERROR(INDEX(_xlfn._xlws.FILTER('Training Tracker'!F$7:F$200,('Training Tracker'!D$7:D$200&lt;TODAY())*(('Training Tracker'!B$7:B$200="Not Started")+('Training Tracker'!B$7:B$200="In Progress"))),ROWS($E$29:E33)),"")</f>
        <v>Low</v>
      </c>
      <c r="F33" s="14"/>
      <c r="G33" s="173" t="str">
        <f>IF(Z38&gt;5,"⚠ Readiness status indicates attention is needed.",IF(Z35&gt;=70%,"✓ Excellent progress! Training milestones are on track.","Keep up the great work! You are making good progress."))</f>
        <v>Keep up the great work! You are making good progress.</v>
      </c>
      <c r="H33" s="174"/>
      <c r="I33" s="174"/>
      <c r="J33" s="174"/>
      <c r="K33" s="175"/>
      <c r="L33" s="14"/>
      <c r="M33" s="194"/>
      <c r="N33" s="195"/>
      <c r="O33" s="195"/>
      <c r="P33" s="195"/>
      <c r="Q33" s="195"/>
      <c r="R33" s="196"/>
      <c r="S33" s="14"/>
      <c r="T33" s="14"/>
      <c r="U33" s="14"/>
      <c r="V33" s="14"/>
      <c r="W33" s="14"/>
      <c r="X33" s="216"/>
      <c r="Y33" s="216"/>
      <c r="Z33" s="216"/>
      <c r="AA33" s="217"/>
      <c r="AB33" s="217"/>
      <c r="AC33" s="217"/>
      <c r="AD33" s="217"/>
      <c r="AE33" s="217"/>
    </row>
    <row r="34" spans="1:31" ht="14.4" customHeight="1">
      <c r="A34" s="143" t="s">
        <v>202</v>
      </c>
      <c r="B34" s="144"/>
      <c r="C34" s="144"/>
      <c r="D34" s="144"/>
      <c r="E34" s="145"/>
      <c r="F34" s="14"/>
      <c r="G34" s="176"/>
      <c r="H34" s="177"/>
      <c r="I34" s="177"/>
      <c r="J34" s="177"/>
      <c r="K34" s="178"/>
      <c r="L34" s="14"/>
      <c r="M34" s="197"/>
      <c r="N34" s="198"/>
      <c r="O34" s="198"/>
      <c r="P34" s="198"/>
      <c r="Q34" s="198"/>
      <c r="R34" s="199"/>
      <c r="S34" s="14"/>
      <c r="T34" s="14"/>
      <c r="U34" s="14"/>
      <c r="V34" s="14"/>
      <c r="W34" s="14"/>
      <c r="X34" s="216"/>
      <c r="Y34" s="216"/>
      <c r="Z34" s="216"/>
      <c r="AA34" s="217"/>
      <c r="AB34" s="217"/>
      <c r="AC34" s="217"/>
      <c r="AD34" s="217"/>
      <c r="AE34" s="217"/>
    </row>
    <row r="35" spans="1:31" ht="15" thickBot="1">
      <c r="A35" s="146"/>
      <c r="B35" s="147"/>
      <c r="C35" s="147"/>
      <c r="D35" s="147"/>
      <c r="E35" s="148"/>
      <c r="F35" s="14"/>
      <c r="G35" s="158"/>
      <c r="H35" s="159"/>
      <c r="I35" s="159"/>
      <c r="J35" s="159"/>
      <c r="K35" s="160"/>
      <c r="L35" s="14"/>
      <c r="M35" s="200"/>
      <c r="N35" s="201"/>
      <c r="O35" s="201"/>
      <c r="P35" s="201"/>
      <c r="Q35" s="201"/>
      <c r="R35" s="202"/>
      <c r="S35" s="14"/>
      <c r="T35" s="74"/>
      <c r="U35" s="74"/>
      <c r="V35" s="74"/>
      <c r="W35" s="74"/>
      <c r="X35" s="216"/>
      <c r="Y35" s="216"/>
      <c r="Z35" s="216"/>
      <c r="AA35" s="217"/>
      <c r="AB35" s="217"/>
      <c r="AC35" s="217"/>
      <c r="AD35" s="217"/>
      <c r="AE35" s="217"/>
    </row>
    <row r="36" spans="1:31" ht="15" thickTop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74"/>
      <c r="U36" s="74"/>
      <c r="V36" s="70"/>
      <c r="W36" s="70"/>
      <c r="X36" s="216"/>
      <c r="Y36" s="216"/>
      <c r="Z36" s="220" t="s">
        <v>188</v>
      </c>
      <c r="AA36" s="217"/>
      <c r="AB36" s="217"/>
      <c r="AC36" s="217"/>
      <c r="AD36" s="217"/>
      <c r="AE36" s="217"/>
    </row>
    <row r="37" spans="1:3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74"/>
      <c r="T37" s="74"/>
      <c r="U37" s="74"/>
      <c r="V37" s="70" t="s">
        <v>191</v>
      </c>
      <c r="W37" s="71">
        <f>COUNTIF('Day One'!C10:C22,TRUE)/(COUNTIF('Day One'!C10:C22,TRUE)+COUNTIF('Day One'!C10:C22,FALSE))</f>
        <v>0.53846153846153844</v>
      </c>
      <c r="X37" s="216"/>
      <c r="Y37" s="218"/>
      <c r="Z37" s="221">
        <f>COUNTIF('Training Tracker'!B7:B200,"Completed")/COUNTA('Training Tracker'!A7:A200)</f>
        <v>0.63157894736842102</v>
      </c>
      <c r="AA37" s="217"/>
      <c r="AB37" s="217"/>
      <c r="AC37" s="217"/>
      <c r="AD37" s="217"/>
      <c r="AE37" s="217"/>
    </row>
    <row r="38" spans="1:3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74"/>
      <c r="T38" s="74"/>
      <c r="U38" s="74"/>
      <c r="V38" s="70" t="s">
        <v>192</v>
      </c>
      <c r="W38" s="71">
        <f>COUNTIF('Day Two'!C16:C22,TRUE)/(COUNTIF('Day Two'!C16:C22,TRUE)+COUNTIF('Day Two'!C16:C22,FALSE))</f>
        <v>0.42857142857142855</v>
      </c>
      <c r="X38" s="216"/>
      <c r="Y38" s="219"/>
      <c r="Z38" s="221">
        <f>COUNTIFS('Systems Access'!B2:B200,TRUE,'Systems Access'!D2:D200,"&lt;&gt;TRUE")/COUNTIFS('Systems Access'!D2:D200,"&lt;&gt;TRUE",'Systems Access'!A2:A200,"&lt;&gt;")</f>
        <v>0.72</v>
      </c>
      <c r="AA38" s="217"/>
      <c r="AB38" s="217"/>
      <c r="AC38" s="217"/>
      <c r="AD38" s="217"/>
      <c r="AE38" s="217"/>
    </row>
    <row r="39" spans="1:3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74"/>
      <c r="S39" s="74"/>
      <c r="T39" s="74"/>
      <c r="U39" s="74"/>
      <c r="V39" s="70" t="s">
        <v>193</v>
      </c>
      <c r="W39" s="71">
        <f>COUNTIF('Day Three'!C16:C20,TRUE)/(COUNTIF('Day Three'!C16:C20,TRUE)+COUNTIF('Day Three'!C16:C20,FALSE))</f>
        <v>0.4</v>
      </c>
      <c r="X39" s="216"/>
      <c r="Y39" s="219"/>
      <c r="Z39" s="221">
        <f>(COUNTIF('Day One'!C10:C22,TRUE)+COUNTIF('Day Two'!C16:C22,TRUE)+COUNTIF('Day Three'!C16:C20,TRUE)+COUNTIF('Day Four'!C14:C20,TRUE)+COUNTIF('Day Five'!C16:C21,TRUE)+COUNTIF('Day Six'!C16:C21,TRUE))/(COUNTA('Day One'!C10:C22)+COUNTA('Day Two'!C16:C22)+COUNTA('Day Three'!C16:C20)+COUNTA('Day Four'!C14:C20)+COUNTA('Day Five'!C16:C21)+COUNTA('Day Six'!C16:C21))</f>
        <v>0.47727272727272729</v>
      </c>
      <c r="AA39" s="217"/>
      <c r="AB39" s="217"/>
      <c r="AC39" s="217"/>
      <c r="AD39" s="217"/>
      <c r="AE39" s="217"/>
    </row>
    <row r="40" spans="1:3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74"/>
      <c r="T40" s="74"/>
      <c r="U40" s="74"/>
      <c r="V40" s="70" t="s">
        <v>194</v>
      </c>
      <c r="W40" s="71">
        <f>COUNTIF('Day Four'!C14:C20,TRUE)/(COUNTIF('Day Four'!C14:C20,TRUE)+COUNTIF('Day Four'!C14:C20,FALSE))</f>
        <v>0.5714285714285714</v>
      </c>
      <c r="X40" s="216"/>
      <c r="Y40" s="219"/>
      <c r="Z40" s="221">
        <f ca="1">COUNTIFS('Training Tracker'!D7:D200,"&lt;"&amp;TODAY(),'Training Tracker'!B7:B200,"&lt;&gt;Completed",'Training Tracker'!A7:A200,"&lt;&gt;")</f>
        <v>7</v>
      </c>
      <c r="AA40" s="217"/>
      <c r="AB40" s="217"/>
      <c r="AC40" s="217"/>
      <c r="AD40" s="217"/>
      <c r="AE40" s="217"/>
    </row>
    <row r="41" spans="1:31" ht="27.6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74"/>
      <c r="T41" s="74"/>
      <c r="U41" s="74"/>
      <c r="V41" s="70" t="s">
        <v>195</v>
      </c>
      <c r="W41" s="71">
        <f>COUNTIF('Day Five'!C16:C21,TRUE)/(COUNTIF('Day Five'!C16:C21,TRUE)+COUNTIF('Day Five'!C16:C21,FALSE))</f>
        <v>0.5</v>
      </c>
      <c r="X41" s="216"/>
      <c r="Y41" s="219"/>
      <c r="Z41" s="221" t="str">
        <f>IF(AND(Z35&gt;=85%,Z36&gt;=90%,Z37&gt;=85%,Z38&lt;=2),"Ready For Work",IF(AND(Z35&gt;=70%,Z36&gt;=75%,Z37&gt;=70%,Z38&lt;=5),"Onboarding Active","Needs Attention"))</f>
        <v>Needs Attention</v>
      </c>
      <c r="AA41" s="217"/>
      <c r="AB41" s="217"/>
      <c r="AC41" s="217"/>
      <c r="AD41" s="217"/>
      <c r="AE41" s="217"/>
    </row>
    <row r="42" spans="1:3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74"/>
      <c r="T42" s="74"/>
      <c r="U42" s="74"/>
      <c r="V42" s="70" t="s">
        <v>196</v>
      </c>
      <c r="W42" s="71">
        <f>COUNTIF('Day Six'!C16:C21,TRUE)/(COUNTIF('Day Six'!C16:C21,TRUE)+COUNTIF('Day Six'!C16:C21,FALSE))</f>
        <v>0.33333333333333331</v>
      </c>
      <c r="X42" s="216"/>
      <c r="Y42" s="219"/>
      <c r="Z42" s="222"/>
      <c r="AA42" s="217"/>
      <c r="AB42" s="217"/>
      <c r="AC42" s="217"/>
      <c r="AD42" s="217"/>
      <c r="AE42" s="217"/>
    </row>
    <row r="43" spans="1:3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74"/>
      <c r="T43" s="74"/>
      <c r="U43" s="74"/>
      <c r="V43" s="70"/>
      <c r="W43" s="70"/>
      <c r="X43" s="216"/>
      <c r="Y43" s="216"/>
      <c r="Z43" s="223">
        <f ca="1">COUNTIFS('Training Tracker'!D7:D200,"&lt;"&amp;TODAY(),'Training Tracker'!B7:B200,"&lt;&gt;Completed",'Training Tracker'!A7:A200,"&lt;&gt;")</f>
        <v>7</v>
      </c>
      <c r="AA43" s="217"/>
      <c r="AB43" s="217"/>
      <c r="AC43" s="217"/>
      <c r="AD43" s="217"/>
      <c r="AE43" s="217"/>
    </row>
    <row r="44" spans="1:3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74"/>
      <c r="T44" s="74"/>
      <c r="U44" s="74"/>
      <c r="V44" s="70"/>
      <c r="W44" s="70"/>
      <c r="X44" s="216"/>
      <c r="Y44" s="216"/>
      <c r="Z44" s="222"/>
      <c r="AA44" s="217"/>
      <c r="AB44" s="217"/>
      <c r="AC44" s="217"/>
      <c r="AD44" s="217"/>
      <c r="AE44" s="217"/>
    </row>
    <row r="45" spans="1:3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74"/>
      <c r="T45" s="74"/>
      <c r="U45" s="74"/>
      <c r="V45" s="70"/>
      <c r="W45" s="70"/>
      <c r="X45" s="216"/>
      <c r="Y45" s="216"/>
      <c r="Z45" s="222" t="str">
        <f>IF(AND(COUNTIF('Day Six'!C16:C21,TRUE)=6,'Day Six'!C23=TRUE,COUNTIF('Day Six'!C27:C31,TRUE)=5,COUNTIF('Day Six'!C34:C36,TRUE)=3),"READY FOR RELEASE",IF(COUNTIF('Day Six'!C40:C42,TRUE)&gt;0,"EXTENDED TRAINING","JUST GETTING STARTED!"))</f>
        <v>JUST GETTING STARTED!</v>
      </c>
      <c r="AA45" s="217"/>
      <c r="AB45" s="217"/>
      <c r="AC45" s="217"/>
      <c r="AD45" s="217"/>
      <c r="AE45" s="217"/>
    </row>
    <row r="46" spans="1:31" hidden="1">
      <c r="X46" s="217"/>
      <c r="Y46" s="217"/>
      <c r="Z46" s="217"/>
      <c r="AA46" s="217"/>
      <c r="AB46" s="217"/>
      <c r="AC46" s="217"/>
      <c r="AD46" s="217"/>
      <c r="AE46" s="217"/>
    </row>
    <row r="47" spans="1:31" hidden="1">
      <c r="X47" s="217"/>
      <c r="Y47" s="217"/>
      <c r="Z47" s="217"/>
      <c r="AA47" s="217"/>
      <c r="AB47" s="217"/>
      <c r="AC47" s="217"/>
      <c r="AD47" s="217"/>
      <c r="AE47" s="217"/>
    </row>
    <row r="48" spans="1:31" hidden="1">
      <c r="X48" s="217"/>
      <c r="Y48" s="217"/>
      <c r="Z48" s="217"/>
      <c r="AA48" s="217"/>
      <c r="AB48" s="217"/>
      <c r="AC48" s="217"/>
      <c r="AD48" s="217"/>
      <c r="AE48" s="217"/>
    </row>
    <row r="49" customFormat="1" hidden="1"/>
    <row r="50" customFormat="1" hidden="1"/>
    <row r="51" customFormat="1" hidden="1"/>
    <row r="52" customFormat="1" hidden="1"/>
    <row r="53" customFormat="1" hidden="1"/>
    <row r="54" customFormat="1" hidden="1"/>
    <row r="55" customFormat="1" hidden="1"/>
    <row r="56" customFormat="1" hidden="1"/>
  </sheetData>
  <mergeCells count="77">
    <mergeCell ref="I11:S11"/>
    <mergeCell ref="G35:K35"/>
    <mergeCell ref="G29:K30"/>
    <mergeCell ref="G31:K32"/>
    <mergeCell ref="G33:K34"/>
    <mergeCell ref="G27:K28"/>
    <mergeCell ref="M27:R28"/>
    <mergeCell ref="M29:R34"/>
    <mergeCell ref="M35:R35"/>
    <mergeCell ref="A11:G11"/>
    <mergeCell ref="A12:B12"/>
    <mergeCell ref="C12:D12"/>
    <mergeCell ref="E12:F12"/>
    <mergeCell ref="A13:B13"/>
    <mergeCell ref="E13:F13"/>
    <mergeCell ref="A14:B14"/>
    <mergeCell ref="A29:B29"/>
    <mergeCell ref="A32:B32"/>
    <mergeCell ref="A31:B31"/>
    <mergeCell ref="C29:D29"/>
    <mergeCell ref="C31:D31"/>
    <mergeCell ref="C32:D32"/>
    <mergeCell ref="A34:E35"/>
    <mergeCell ref="A30:B30"/>
    <mergeCell ref="A33:B33"/>
    <mergeCell ref="C30:D30"/>
    <mergeCell ref="C33:D33"/>
    <mergeCell ref="M5:O6"/>
    <mergeCell ref="M7:O8"/>
    <mergeCell ref="R5:T6"/>
    <mergeCell ref="R7:T7"/>
    <mergeCell ref="R8:T8"/>
    <mergeCell ref="A2:K2"/>
    <mergeCell ref="A3:E3"/>
    <mergeCell ref="A5:B8"/>
    <mergeCell ref="C5:D6"/>
    <mergeCell ref="D7:D8"/>
    <mergeCell ref="F5:G6"/>
    <mergeCell ref="F7:G8"/>
    <mergeCell ref="J5:K6"/>
    <mergeCell ref="J7:K8"/>
    <mergeCell ref="A15:B15"/>
    <mergeCell ref="A16:B16"/>
    <mergeCell ref="A17:B17"/>
    <mergeCell ref="A18:B18"/>
    <mergeCell ref="C18:D18"/>
    <mergeCell ref="C13:D13"/>
    <mergeCell ref="C14:D14"/>
    <mergeCell ref="C15:D15"/>
    <mergeCell ref="C16:D16"/>
    <mergeCell ref="C17:D17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3:B23"/>
    <mergeCell ref="C23:D23"/>
    <mergeCell ref="E23:F23"/>
    <mergeCell ref="A19:B19"/>
    <mergeCell ref="A20:B20"/>
    <mergeCell ref="A21:B21"/>
    <mergeCell ref="A22:B22"/>
    <mergeCell ref="C19:D19"/>
    <mergeCell ref="C20:D20"/>
    <mergeCell ref="C21:D21"/>
    <mergeCell ref="C22:D22"/>
    <mergeCell ref="A28:B28"/>
    <mergeCell ref="A24:B24"/>
    <mergeCell ref="C24:D24"/>
    <mergeCell ref="E24:F24"/>
    <mergeCell ref="A27:E27"/>
    <mergeCell ref="C28:D28"/>
  </mergeCells>
  <phoneticPr fontId="30" type="noConversion"/>
  <conditionalFormatting sqref="C13:D24">
    <cfRule type="cellIs" dxfId="18" priority="18" operator="equal">
      <formula>"IN PROGRESS"</formula>
    </cfRule>
    <cfRule type="cellIs" dxfId="17" priority="19" operator="equal">
      <formula>"COMPLETED"</formula>
    </cfRule>
    <cfRule type="cellIs" dxfId="16" priority="20" operator="equal">
      <formula>"NOT STARTED"</formula>
    </cfRule>
  </conditionalFormatting>
  <conditionalFormatting sqref="E13:F24">
    <cfRule type="cellIs" dxfId="15" priority="15" operator="equal">
      <formula>"LOW"</formula>
    </cfRule>
    <cfRule type="cellIs" dxfId="14" priority="16" operator="equal">
      <formula>"MEDIUM"</formula>
    </cfRule>
    <cfRule type="cellIs" dxfId="13" priority="17" operator="equal">
      <formula>"HIGH"</formula>
    </cfRule>
  </conditionalFormatting>
  <conditionalFormatting sqref="G1">
    <cfRule type="expression" dxfId="12" priority="5">
      <formula>AND($D1048573&lt;&gt;"",$D1048573&lt;TODAY(),$B1048573&lt;&gt;"Completed")</formula>
    </cfRule>
  </conditionalFormatting>
  <conditionalFormatting sqref="M29">
    <cfRule type="cellIs" dxfId="11" priority="1" operator="equal">
      <formula>"READY FOR RELEASE"</formula>
    </cfRule>
    <cfRule type="cellIs" dxfId="10" priority="2" operator="equal">
      <formula>"EXTENDED TRAINING"</formula>
    </cfRule>
    <cfRule type="cellIs" dxfId="9" priority="3" operator="equal">
      <formula>"JUST GETTING STARTED!"</formula>
    </cfRule>
  </conditionalFormatting>
  <conditionalFormatting sqref="R7:T7">
    <cfRule type="cellIs" dxfId="8" priority="21" operator="equal">
      <formula>"IN PROGRESS"</formula>
    </cfRule>
    <cfRule type="cellIs" dxfId="7" priority="22" operator="equal">
      <formula>"READY"</formula>
    </cfRule>
    <cfRule type="cellIs" dxfId="6" priority="23" operator="equal">
      <formula>"Further Training Needed"</formula>
    </cfRule>
  </conditionalFormatting>
  <pageMargins left="0.25" right="0.25" top="0.75" bottom="0.75" header="0.3" footer="0.3"/>
  <pageSetup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165-1979-4E0C-8928-8D1550B9F902}">
  <sheetPr>
    <pageSetUpPr fitToPage="1"/>
  </sheetPr>
  <dimension ref="A1:I101"/>
  <sheetViews>
    <sheetView workbookViewId="0">
      <pane ySplit="5" topLeftCell="A7" activePane="bottomLeft" state="frozen"/>
      <selection activeCell="E6" sqref="E6"/>
      <selection pane="bottomLeft" activeCell="B24" sqref="B24"/>
    </sheetView>
  </sheetViews>
  <sheetFormatPr defaultRowHeight="14.4"/>
  <cols>
    <col min="1" max="1" width="24.33203125" customWidth="1"/>
    <col min="2" max="2" width="23" customWidth="1"/>
    <col min="3" max="3" width="18.44140625" style="39" customWidth="1"/>
    <col min="4" max="4" width="16.44140625" style="10" customWidth="1"/>
    <col min="5" max="6" width="19" customWidth="1"/>
    <col min="7" max="7" width="52.77734375" customWidth="1"/>
  </cols>
  <sheetData>
    <row r="1" spans="1:9" ht="28.8">
      <c r="A1" s="211" t="s">
        <v>113</v>
      </c>
      <c r="B1" s="212"/>
      <c r="C1" s="212"/>
      <c r="D1" s="212"/>
      <c r="E1" s="212"/>
      <c r="F1" s="212"/>
      <c r="G1" s="212"/>
      <c r="H1" s="18"/>
      <c r="I1" s="19"/>
    </row>
    <row r="2" spans="1:9" ht="14.4" customHeight="1">
      <c r="A2" s="97" t="s">
        <v>122</v>
      </c>
      <c r="B2" s="97"/>
      <c r="C2" s="97"/>
      <c r="D2" s="97"/>
      <c r="E2" s="97"/>
      <c r="F2" s="97"/>
      <c r="G2" s="97"/>
      <c r="H2" s="20"/>
      <c r="I2" s="20"/>
    </row>
    <row r="3" spans="1:9" ht="15.6">
      <c r="A3" s="29"/>
      <c r="B3" s="29"/>
      <c r="C3" s="40"/>
      <c r="D3" s="72"/>
      <c r="E3" s="29"/>
      <c r="F3" s="29"/>
      <c r="G3" s="29"/>
      <c r="H3" s="21"/>
      <c r="I3" s="21"/>
    </row>
    <row r="4" spans="1:9" ht="15.6">
      <c r="A4" s="28" t="s">
        <v>124</v>
      </c>
      <c r="B4" s="28" t="s">
        <v>222</v>
      </c>
      <c r="C4" s="41"/>
      <c r="D4" s="73"/>
      <c r="E4" s="28"/>
      <c r="F4" s="28"/>
      <c r="G4" s="28"/>
      <c r="H4" s="22"/>
      <c r="I4" s="22"/>
    </row>
    <row r="5" spans="1:9" ht="15.6">
      <c r="A5" s="45" t="s">
        <v>180</v>
      </c>
      <c r="B5" s="45" t="s">
        <v>123</v>
      </c>
      <c r="C5" s="41"/>
      <c r="D5" s="73"/>
      <c r="E5" s="28"/>
      <c r="F5" s="28"/>
      <c r="G5" s="28"/>
      <c r="H5" s="22"/>
      <c r="I5" s="22"/>
    </row>
    <row r="6" spans="1:9" ht="25.2" customHeight="1">
      <c r="A6" s="47" t="s">
        <v>114</v>
      </c>
      <c r="B6" s="47" t="s">
        <v>115</v>
      </c>
      <c r="C6" s="27" t="s">
        <v>116</v>
      </c>
      <c r="D6" s="27" t="s">
        <v>117</v>
      </c>
      <c r="E6" s="26" t="s">
        <v>118</v>
      </c>
      <c r="F6" s="26" t="s">
        <v>174</v>
      </c>
      <c r="G6" s="26" t="s">
        <v>119</v>
      </c>
    </row>
    <row r="7" spans="1:9" ht="15" customHeight="1">
      <c r="A7" s="48" t="s">
        <v>203</v>
      </c>
      <c r="B7" s="46" t="s">
        <v>199</v>
      </c>
      <c r="C7" s="37">
        <v>46113</v>
      </c>
      <c r="D7" s="25">
        <v>46142</v>
      </c>
      <c r="E7" s="24"/>
      <c r="F7" s="37" t="s">
        <v>176</v>
      </c>
      <c r="G7" s="52"/>
    </row>
    <row r="8" spans="1:9" ht="14.4" customHeight="1">
      <c r="A8" s="48" t="s">
        <v>204</v>
      </c>
      <c r="B8" s="46" t="s">
        <v>120</v>
      </c>
      <c r="C8" s="37">
        <v>46113</v>
      </c>
      <c r="D8" s="25">
        <v>46132</v>
      </c>
      <c r="E8" s="24"/>
      <c r="F8" s="24" t="s">
        <v>175</v>
      </c>
      <c r="G8" s="52"/>
    </row>
    <row r="9" spans="1:9">
      <c r="A9" s="49" t="s">
        <v>205</v>
      </c>
      <c r="B9" s="24" t="s">
        <v>121</v>
      </c>
      <c r="C9" s="37">
        <v>46113</v>
      </c>
      <c r="D9" s="37">
        <v>46172</v>
      </c>
      <c r="E9" s="37">
        <v>46113</v>
      </c>
      <c r="F9" s="37" t="s">
        <v>176</v>
      </c>
      <c r="G9" s="24"/>
    </row>
    <row r="10" spans="1:9">
      <c r="A10" s="24" t="s">
        <v>206</v>
      </c>
      <c r="B10" s="24" t="s">
        <v>121</v>
      </c>
      <c r="C10" s="37">
        <v>46113</v>
      </c>
      <c r="D10" s="25">
        <v>46172</v>
      </c>
      <c r="E10" s="37">
        <v>46113</v>
      </c>
      <c r="F10" s="37" t="s">
        <v>176</v>
      </c>
      <c r="G10" s="24"/>
    </row>
    <row r="11" spans="1:9">
      <c r="A11" s="24" t="s">
        <v>207</v>
      </c>
      <c r="B11" s="24" t="s">
        <v>120</v>
      </c>
      <c r="C11" s="37">
        <v>46113</v>
      </c>
      <c r="D11" s="25">
        <v>46172</v>
      </c>
      <c r="E11" s="24"/>
      <c r="F11" s="24" t="s">
        <v>176</v>
      </c>
      <c r="G11" s="24"/>
    </row>
    <row r="12" spans="1:9">
      <c r="A12" s="24" t="s">
        <v>208</v>
      </c>
      <c r="B12" s="24" t="s">
        <v>121</v>
      </c>
      <c r="C12" s="37">
        <v>46113</v>
      </c>
      <c r="D12" s="25">
        <v>46172</v>
      </c>
      <c r="E12" s="37">
        <v>46113</v>
      </c>
      <c r="F12" s="37" t="s">
        <v>177</v>
      </c>
      <c r="G12" s="24"/>
    </row>
    <row r="13" spans="1:9">
      <c r="A13" s="24" t="s">
        <v>209</v>
      </c>
      <c r="B13" s="24" t="s">
        <v>120</v>
      </c>
      <c r="C13" s="37">
        <v>46113</v>
      </c>
      <c r="D13" s="25">
        <v>46172</v>
      </c>
      <c r="E13" s="24"/>
      <c r="F13" s="37" t="s">
        <v>176</v>
      </c>
      <c r="G13" s="24"/>
    </row>
    <row r="14" spans="1:9">
      <c r="A14" s="24" t="s">
        <v>210</v>
      </c>
      <c r="B14" s="24" t="s">
        <v>121</v>
      </c>
      <c r="C14" s="37">
        <v>46113</v>
      </c>
      <c r="D14" s="25">
        <v>46172</v>
      </c>
      <c r="E14" s="24"/>
      <c r="F14" s="24" t="s">
        <v>177</v>
      </c>
      <c r="G14" s="24"/>
    </row>
    <row r="15" spans="1:9">
      <c r="A15" s="24" t="s">
        <v>211</v>
      </c>
      <c r="B15" s="24" t="s">
        <v>121</v>
      </c>
      <c r="C15" s="37">
        <v>46113</v>
      </c>
      <c r="D15" s="25">
        <v>46172</v>
      </c>
      <c r="E15" s="24"/>
      <c r="F15" s="24" t="s">
        <v>177</v>
      </c>
      <c r="G15" s="24"/>
    </row>
    <row r="16" spans="1:9">
      <c r="A16" s="24" t="s">
        <v>212</v>
      </c>
      <c r="B16" s="24" t="s">
        <v>120</v>
      </c>
      <c r="C16" s="37">
        <v>46113</v>
      </c>
      <c r="D16" s="25">
        <v>46147</v>
      </c>
      <c r="E16" s="24"/>
      <c r="F16" s="24" t="s">
        <v>175</v>
      </c>
      <c r="G16" s="24"/>
    </row>
    <row r="17" spans="1:7">
      <c r="A17" s="24" t="s">
        <v>213</v>
      </c>
      <c r="B17" s="24" t="s">
        <v>121</v>
      </c>
      <c r="C17" s="37">
        <v>46113</v>
      </c>
      <c r="D17" s="25">
        <v>46172</v>
      </c>
      <c r="E17" s="37">
        <v>46113</v>
      </c>
      <c r="F17" s="37" t="s">
        <v>177</v>
      </c>
      <c r="G17" s="24"/>
    </row>
    <row r="18" spans="1:7">
      <c r="A18" s="24" t="s">
        <v>214</v>
      </c>
      <c r="B18" s="24" t="s">
        <v>199</v>
      </c>
      <c r="C18" s="37">
        <v>46113</v>
      </c>
      <c r="D18" s="25">
        <v>46143</v>
      </c>
      <c r="E18" s="24"/>
      <c r="F18" s="24" t="s">
        <v>177</v>
      </c>
      <c r="G18" s="24"/>
    </row>
    <row r="19" spans="1:7">
      <c r="A19" s="24" t="s">
        <v>215</v>
      </c>
      <c r="B19" s="24" t="s">
        <v>121</v>
      </c>
      <c r="C19" s="37">
        <v>46113</v>
      </c>
      <c r="D19" s="25">
        <v>46132</v>
      </c>
      <c r="E19" s="24"/>
      <c r="F19" s="24" t="s">
        <v>175</v>
      </c>
      <c r="G19" s="24"/>
    </row>
    <row r="20" spans="1:7">
      <c r="A20" s="24" t="s">
        <v>216</v>
      </c>
      <c r="B20" s="24" t="s">
        <v>121</v>
      </c>
      <c r="C20" s="37">
        <v>46113</v>
      </c>
      <c r="D20" s="25">
        <v>46172</v>
      </c>
      <c r="E20" s="24"/>
      <c r="F20" s="24" t="s">
        <v>176</v>
      </c>
      <c r="G20" s="24"/>
    </row>
    <row r="21" spans="1:7">
      <c r="A21" s="24" t="s">
        <v>217</v>
      </c>
      <c r="B21" s="24" t="s">
        <v>121</v>
      </c>
      <c r="C21" s="37">
        <v>46113</v>
      </c>
      <c r="D21" s="25">
        <v>46172</v>
      </c>
      <c r="E21" s="37">
        <v>46113</v>
      </c>
      <c r="F21" s="37" t="s">
        <v>176</v>
      </c>
      <c r="G21" s="24"/>
    </row>
    <row r="22" spans="1:7">
      <c r="A22" s="24" t="s">
        <v>218</v>
      </c>
      <c r="B22" s="24" t="s">
        <v>121</v>
      </c>
      <c r="C22" s="37">
        <v>46113</v>
      </c>
      <c r="D22" s="25">
        <v>46172</v>
      </c>
      <c r="E22" s="24"/>
      <c r="F22" s="24" t="s">
        <v>177</v>
      </c>
      <c r="G22" s="24"/>
    </row>
    <row r="23" spans="1:7">
      <c r="A23" s="24" t="s">
        <v>219</v>
      </c>
      <c r="B23" s="24" t="s">
        <v>121</v>
      </c>
      <c r="C23" s="37">
        <v>46113</v>
      </c>
      <c r="D23" s="25">
        <v>46172</v>
      </c>
      <c r="E23" s="37">
        <v>46113</v>
      </c>
      <c r="F23" s="37" t="s">
        <v>176</v>
      </c>
      <c r="G23" s="24"/>
    </row>
    <row r="24" spans="1:7">
      <c r="A24" s="24" t="s">
        <v>220</v>
      </c>
      <c r="B24" s="24" t="s">
        <v>120</v>
      </c>
      <c r="C24" s="37">
        <v>46113</v>
      </c>
      <c r="D24" s="25">
        <v>46132</v>
      </c>
      <c r="E24" s="24"/>
      <c r="F24" s="24" t="s">
        <v>177</v>
      </c>
      <c r="G24" s="24"/>
    </row>
    <row r="25" spans="1:7">
      <c r="A25" s="24" t="s">
        <v>221</v>
      </c>
      <c r="B25" s="24" t="s">
        <v>121</v>
      </c>
      <c r="C25" s="37">
        <v>46113</v>
      </c>
      <c r="D25" s="25">
        <v>46172</v>
      </c>
      <c r="E25" s="37">
        <v>46113</v>
      </c>
      <c r="F25" s="37" t="s">
        <v>177</v>
      </c>
      <c r="G25" s="24"/>
    </row>
    <row r="26" spans="1:7">
      <c r="A26" s="24"/>
      <c r="B26" s="24"/>
      <c r="C26" s="37"/>
      <c r="D26" s="25"/>
      <c r="E26" s="24"/>
      <c r="F26" s="24"/>
      <c r="G26" s="24"/>
    </row>
    <row r="27" spans="1:7">
      <c r="A27" s="24"/>
      <c r="B27" s="24"/>
      <c r="C27" s="37"/>
      <c r="D27" s="25"/>
      <c r="E27" s="24"/>
      <c r="F27" s="24"/>
      <c r="G27" s="24"/>
    </row>
    <row r="28" spans="1:7">
      <c r="A28" s="24"/>
      <c r="B28" s="24"/>
      <c r="C28" s="37"/>
      <c r="D28" s="25"/>
      <c r="E28" s="24"/>
      <c r="F28" s="24"/>
      <c r="G28" s="24"/>
    </row>
    <row r="29" spans="1:7">
      <c r="A29" s="24"/>
      <c r="B29" s="24"/>
      <c r="C29" s="37"/>
      <c r="D29" s="25"/>
      <c r="E29" s="24"/>
      <c r="F29" s="24"/>
      <c r="G29" s="24"/>
    </row>
    <row r="30" spans="1:7">
      <c r="A30" s="24"/>
      <c r="B30" s="24"/>
      <c r="C30" s="37"/>
      <c r="D30" s="25"/>
      <c r="E30" s="24"/>
      <c r="F30" s="24"/>
      <c r="G30" s="24"/>
    </row>
    <row r="31" spans="1:7">
      <c r="A31" s="24"/>
      <c r="B31" s="24"/>
      <c r="C31" s="37"/>
      <c r="D31" s="25"/>
      <c r="E31" s="24"/>
      <c r="F31" s="24"/>
      <c r="G31" s="24"/>
    </row>
    <row r="32" spans="1:7">
      <c r="A32" s="24"/>
      <c r="B32" s="24"/>
      <c r="C32" s="37"/>
      <c r="D32" s="25"/>
      <c r="E32" s="24"/>
      <c r="F32" s="24"/>
      <c r="G32" s="24"/>
    </row>
    <row r="33" spans="1:7">
      <c r="A33" s="24"/>
      <c r="B33" s="24"/>
      <c r="C33" s="37"/>
      <c r="D33" s="25"/>
      <c r="E33" s="24"/>
      <c r="F33" s="24"/>
      <c r="G33" s="24"/>
    </row>
    <row r="34" spans="1:7">
      <c r="A34" s="24"/>
      <c r="B34" s="24"/>
      <c r="C34" s="37"/>
      <c r="D34" s="25"/>
      <c r="E34" s="24"/>
      <c r="F34" s="24"/>
      <c r="G34" s="24"/>
    </row>
    <row r="35" spans="1:7">
      <c r="A35" s="24"/>
      <c r="B35" s="24"/>
      <c r="C35" s="37"/>
      <c r="D35" s="25"/>
      <c r="E35" s="24"/>
      <c r="F35" s="24"/>
      <c r="G35" s="24"/>
    </row>
    <row r="36" spans="1:7">
      <c r="A36" s="24"/>
      <c r="B36" s="24"/>
      <c r="C36" s="37"/>
      <c r="D36" s="25"/>
      <c r="E36" s="24"/>
      <c r="F36" s="24"/>
      <c r="G36" s="24"/>
    </row>
    <row r="37" spans="1:7">
      <c r="A37" s="24"/>
      <c r="B37" s="24"/>
      <c r="C37" s="37"/>
      <c r="D37" s="25"/>
      <c r="E37" s="24"/>
      <c r="F37" s="24"/>
      <c r="G37" s="24"/>
    </row>
    <row r="38" spans="1:7">
      <c r="A38" s="24"/>
      <c r="B38" s="24"/>
      <c r="C38" s="37"/>
      <c r="D38" s="25"/>
      <c r="E38" s="24"/>
      <c r="F38" s="24"/>
      <c r="G38" s="24"/>
    </row>
    <row r="39" spans="1:7">
      <c r="A39" s="24"/>
      <c r="B39" s="24"/>
      <c r="C39" s="37"/>
      <c r="D39" s="25"/>
      <c r="E39" s="24"/>
      <c r="F39" s="24"/>
      <c r="G39" s="24"/>
    </row>
    <row r="40" spans="1:7">
      <c r="A40" s="24"/>
      <c r="B40" s="24"/>
      <c r="C40" s="37"/>
      <c r="D40" s="25"/>
      <c r="E40" s="24"/>
      <c r="F40" s="24"/>
      <c r="G40" s="24"/>
    </row>
    <row r="41" spans="1:7">
      <c r="A41" s="24"/>
      <c r="B41" s="24"/>
      <c r="C41" s="37"/>
      <c r="D41" s="25"/>
      <c r="E41" s="24"/>
      <c r="F41" s="24"/>
      <c r="G41" s="24"/>
    </row>
    <row r="42" spans="1:7">
      <c r="A42" s="24"/>
      <c r="B42" s="24"/>
      <c r="C42" s="37"/>
      <c r="D42" s="25"/>
      <c r="E42" s="24"/>
      <c r="F42" s="24"/>
      <c r="G42" s="24"/>
    </row>
    <row r="43" spans="1:7">
      <c r="A43" s="24"/>
      <c r="B43" s="24"/>
      <c r="C43" s="37"/>
      <c r="D43" s="25"/>
      <c r="E43" s="24"/>
      <c r="F43" s="24"/>
      <c r="G43" s="24"/>
    </row>
    <row r="44" spans="1:7">
      <c r="A44" s="24"/>
      <c r="B44" s="24"/>
      <c r="C44" s="37"/>
      <c r="D44" s="25"/>
      <c r="E44" s="24"/>
      <c r="F44" s="24"/>
      <c r="G44" s="24"/>
    </row>
    <row r="45" spans="1:7">
      <c r="A45" s="24"/>
      <c r="B45" s="24"/>
      <c r="C45" s="37"/>
      <c r="D45" s="25"/>
      <c r="E45" s="24"/>
      <c r="F45" s="24"/>
      <c r="G45" s="24"/>
    </row>
    <row r="46" spans="1:7">
      <c r="A46" s="24"/>
      <c r="B46" s="24"/>
      <c r="C46" s="37"/>
      <c r="D46" s="25"/>
      <c r="E46" s="24"/>
      <c r="F46" s="24"/>
      <c r="G46" s="24"/>
    </row>
    <row r="47" spans="1:7">
      <c r="A47" s="24"/>
      <c r="B47" s="24"/>
      <c r="C47" s="37"/>
      <c r="D47" s="25"/>
      <c r="E47" s="24"/>
      <c r="F47" s="24"/>
      <c r="G47" s="24"/>
    </row>
    <row r="48" spans="1:7">
      <c r="A48" s="24"/>
      <c r="B48" s="24"/>
      <c r="C48" s="37"/>
      <c r="D48" s="25"/>
      <c r="E48" s="24"/>
      <c r="F48" s="24"/>
      <c r="G48" s="24"/>
    </row>
    <row r="49" spans="1:7">
      <c r="A49" s="24"/>
      <c r="B49" s="24"/>
      <c r="C49" s="37"/>
      <c r="D49" s="25"/>
      <c r="E49" s="24"/>
      <c r="F49" s="24"/>
      <c r="G49" s="24"/>
    </row>
    <row r="50" spans="1:7">
      <c r="A50" s="24"/>
      <c r="B50" s="24"/>
      <c r="C50" s="37"/>
      <c r="D50" s="25"/>
      <c r="E50" s="24"/>
      <c r="F50" s="24"/>
      <c r="G50" s="24"/>
    </row>
    <row r="51" spans="1:7">
      <c r="A51" s="24"/>
      <c r="B51" s="24"/>
      <c r="C51" s="37"/>
      <c r="D51" s="25"/>
      <c r="E51" s="24"/>
      <c r="F51" s="24"/>
      <c r="G51" s="24"/>
    </row>
    <row r="52" spans="1:7">
      <c r="A52" s="24"/>
      <c r="B52" s="24"/>
      <c r="C52" s="37"/>
      <c r="D52" s="25"/>
      <c r="E52" s="24"/>
      <c r="F52" s="24"/>
      <c r="G52" s="24"/>
    </row>
    <row r="53" spans="1:7">
      <c r="A53" s="24"/>
      <c r="B53" s="24"/>
      <c r="C53" s="37"/>
      <c r="D53" s="25"/>
      <c r="E53" s="24"/>
      <c r="F53" s="24"/>
      <c r="G53" s="24"/>
    </row>
    <row r="54" spans="1:7">
      <c r="A54" s="24"/>
      <c r="B54" s="24"/>
      <c r="C54" s="37"/>
      <c r="D54" s="25"/>
      <c r="E54" s="24"/>
      <c r="F54" s="24"/>
      <c r="G54" s="24"/>
    </row>
    <row r="55" spans="1:7">
      <c r="A55" s="24"/>
      <c r="B55" s="24"/>
      <c r="C55" s="37"/>
      <c r="D55" s="25"/>
      <c r="E55" s="24"/>
      <c r="F55" s="24"/>
      <c r="G55" s="24"/>
    </row>
    <row r="56" spans="1:7">
      <c r="A56" s="24"/>
      <c r="B56" s="24"/>
      <c r="C56" s="37"/>
      <c r="D56" s="25"/>
      <c r="E56" s="24"/>
      <c r="F56" s="24"/>
      <c r="G56" s="24"/>
    </row>
    <row r="57" spans="1:7">
      <c r="A57" s="24"/>
      <c r="B57" s="24"/>
      <c r="C57" s="37"/>
      <c r="D57" s="25"/>
      <c r="E57" s="24"/>
      <c r="F57" s="24"/>
      <c r="G57" s="24"/>
    </row>
    <row r="58" spans="1:7">
      <c r="A58" s="24"/>
      <c r="B58" s="24"/>
      <c r="C58" s="37"/>
      <c r="D58" s="25"/>
      <c r="E58" s="24"/>
      <c r="F58" s="24"/>
      <c r="G58" s="24"/>
    </row>
    <row r="59" spans="1:7">
      <c r="A59" s="24"/>
      <c r="B59" s="24"/>
      <c r="C59" s="37"/>
      <c r="D59" s="25"/>
      <c r="E59" s="24"/>
      <c r="F59" s="24"/>
      <c r="G59" s="24"/>
    </row>
    <row r="60" spans="1:7">
      <c r="A60" s="24"/>
      <c r="B60" s="24"/>
      <c r="C60" s="37"/>
      <c r="D60" s="25"/>
      <c r="E60" s="24"/>
      <c r="F60" s="24"/>
      <c r="G60" s="24"/>
    </row>
    <row r="61" spans="1:7">
      <c r="A61" s="24"/>
      <c r="B61" s="24"/>
      <c r="C61" s="37"/>
      <c r="D61" s="25"/>
      <c r="E61" s="24"/>
      <c r="F61" s="24"/>
      <c r="G61" s="24"/>
    </row>
    <row r="62" spans="1:7">
      <c r="A62" s="24"/>
      <c r="B62" s="24"/>
      <c r="C62" s="37"/>
      <c r="D62" s="25"/>
      <c r="E62" s="24"/>
      <c r="F62" s="24"/>
      <c r="G62" s="24"/>
    </row>
    <row r="63" spans="1:7">
      <c r="A63" s="24"/>
      <c r="B63" s="24"/>
      <c r="C63" s="37"/>
      <c r="D63" s="25"/>
      <c r="E63" s="24"/>
      <c r="F63" s="24"/>
      <c r="G63" s="24"/>
    </row>
    <row r="64" spans="1:7">
      <c r="A64" s="24"/>
      <c r="B64" s="24"/>
      <c r="C64" s="37"/>
      <c r="D64" s="25"/>
      <c r="E64" s="24"/>
      <c r="F64" s="24"/>
      <c r="G64" s="24"/>
    </row>
    <row r="65" spans="1:7">
      <c r="A65" s="24"/>
      <c r="B65" s="24"/>
      <c r="C65" s="37"/>
      <c r="D65" s="25"/>
      <c r="E65" s="24"/>
      <c r="F65" s="24"/>
      <c r="G65" s="24"/>
    </row>
    <row r="66" spans="1:7">
      <c r="A66" s="24"/>
      <c r="B66" s="24"/>
      <c r="C66" s="37"/>
      <c r="D66" s="25"/>
      <c r="E66" s="24"/>
      <c r="F66" s="24"/>
      <c r="G66" s="24"/>
    </row>
    <row r="67" spans="1:7">
      <c r="A67" s="24"/>
      <c r="B67" s="24"/>
      <c r="C67" s="37"/>
      <c r="D67" s="25"/>
      <c r="E67" s="24"/>
      <c r="F67" s="24"/>
      <c r="G67" s="24"/>
    </row>
    <row r="68" spans="1:7">
      <c r="A68" s="24"/>
      <c r="B68" s="24"/>
      <c r="C68" s="37"/>
      <c r="D68" s="25"/>
      <c r="E68" s="24"/>
      <c r="F68" s="24"/>
      <c r="G68" s="24"/>
    </row>
    <row r="69" spans="1:7">
      <c r="A69" s="24"/>
      <c r="B69" s="24"/>
      <c r="C69" s="37"/>
      <c r="D69" s="25"/>
      <c r="E69" s="24"/>
      <c r="F69" s="24"/>
      <c r="G69" s="24"/>
    </row>
    <row r="70" spans="1:7">
      <c r="A70" s="11"/>
      <c r="B70" s="11"/>
      <c r="C70" s="38"/>
      <c r="D70" s="12"/>
      <c r="E70" s="11"/>
      <c r="F70" s="11"/>
      <c r="G70" s="11"/>
    </row>
    <row r="71" spans="1:7">
      <c r="A71" s="11"/>
      <c r="B71" s="11"/>
      <c r="C71" s="38"/>
      <c r="D71" s="12"/>
      <c r="E71" s="11"/>
      <c r="F71" s="11"/>
      <c r="G71" s="11"/>
    </row>
    <row r="72" spans="1:7">
      <c r="A72" s="11"/>
      <c r="B72" s="11"/>
      <c r="C72" s="38"/>
      <c r="D72" s="12"/>
      <c r="E72" s="11"/>
      <c r="F72" s="11"/>
      <c r="G72" s="11"/>
    </row>
    <row r="73" spans="1:7">
      <c r="A73" s="11"/>
      <c r="B73" s="11"/>
      <c r="C73" s="38"/>
      <c r="D73" s="12"/>
      <c r="E73" s="11"/>
      <c r="F73" s="11"/>
      <c r="G73" s="11"/>
    </row>
    <row r="74" spans="1:7">
      <c r="A74" s="11"/>
      <c r="B74" s="11"/>
      <c r="C74" s="38"/>
      <c r="D74" s="12"/>
      <c r="E74" s="11"/>
      <c r="F74" s="11"/>
      <c r="G74" s="11"/>
    </row>
    <row r="75" spans="1:7">
      <c r="A75" s="11"/>
      <c r="B75" s="11"/>
      <c r="C75" s="38"/>
      <c r="D75" s="12"/>
      <c r="E75" s="11"/>
      <c r="F75" s="11"/>
      <c r="G75" s="11"/>
    </row>
    <row r="76" spans="1:7">
      <c r="A76" s="11"/>
      <c r="B76" s="11"/>
      <c r="C76" s="38"/>
      <c r="D76" s="12"/>
      <c r="E76" s="11"/>
      <c r="F76" s="11"/>
      <c r="G76" s="11"/>
    </row>
    <row r="77" spans="1:7">
      <c r="A77" s="11"/>
      <c r="B77" s="11"/>
      <c r="C77" s="38"/>
      <c r="D77" s="12"/>
      <c r="E77" s="11"/>
      <c r="F77" s="11"/>
      <c r="G77" s="11"/>
    </row>
    <row r="78" spans="1:7">
      <c r="A78" s="11"/>
      <c r="B78" s="11"/>
      <c r="C78" s="38"/>
      <c r="D78" s="12"/>
      <c r="E78" s="11"/>
      <c r="F78" s="11"/>
      <c r="G78" s="11"/>
    </row>
    <row r="79" spans="1:7">
      <c r="A79" s="11"/>
      <c r="B79" s="11"/>
      <c r="C79" s="38"/>
      <c r="D79" s="12"/>
      <c r="E79" s="11"/>
      <c r="F79" s="11"/>
      <c r="G79" s="11"/>
    </row>
    <row r="80" spans="1:7">
      <c r="A80" s="11"/>
      <c r="B80" s="11"/>
      <c r="C80" s="38"/>
      <c r="D80" s="12"/>
      <c r="E80" s="11"/>
      <c r="F80" s="11"/>
      <c r="G80" s="11"/>
    </row>
    <row r="81" spans="1:7">
      <c r="A81" s="11"/>
      <c r="B81" s="11"/>
      <c r="C81" s="38"/>
      <c r="D81" s="12"/>
      <c r="E81" s="11"/>
      <c r="F81" s="11"/>
      <c r="G81" s="11"/>
    </row>
    <row r="82" spans="1:7">
      <c r="A82" s="11"/>
      <c r="B82" s="11"/>
      <c r="C82" s="38"/>
      <c r="D82" s="12"/>
      <c r="E82" s="11"/>
      <c r="F82" s="11"/>
      <c r="G82" s="11"/>
    </row>
    <row r="83" spans="1:7">
      <c r="A83" s="11"/>
      <c r="B83" s="11"/>
      <c r="C83" s="38"/>
      <c r="D83" s="12"/>
      <c r="E83" s="11"/>
      <c r="F83" s="11"/>
      <c r="G83" s="11"/>
    </row>
    <row r="84" spans="1:7">
      <c r="A84" s="11"/>
      <c r="B84" s="11"/>
      <c r="C84" s="38"/>
      <c r="D84" s="12"/>
      <c r="E84" s="11"/>
      <c r="F84" s="11"/>
      <c r="G84" s="11"/>
    </row>
    <row r="85" spans="1:7">
      <c r="A85" s="11"/>
      <c r="B85" s="11"/>
      <c r="C85" s="38"/>
      <c r="D85" s="12"/>
      <c r="E85" s="11"/>
      <c r="F85" s="11"/>
      <c r="G85" s="11"/>
    </row>
    <row r="86" spans="1:7">
      <c r="A86" s="11"/>
      <c r="B86" s="11"/>
      <c r="C86" s="38"/>
      <c r="D86" s="12"/>
      <c r="E86" s="11"/>
      <c r="F86" s="11"/>
      <c r="G86" s="11"/>
    </row>
    <row r="87" spans="1:7">
      <c r="A87" s="11"/>
      <c r="B87" s="11"/>
      <c r="C87" s="38"/>
      <c r="D87" s="12"/>
      <c r="E87" s="11"/>
      <c r="F87" s="11"/>
      <c r="G87" s="11"/>
    </row>
    <row r="88" spans="1:7">
      <c r="A88" s="11"/>
      <c r="B88" s="11"/>
      <c r="C88" s="38"/>
      <c r="D88" s="12"/>
      <c r="E88" s="11"/>
      <c r="F88" s="11"/>
      <c r="G88" s="11"/>
    </row>
    <row r="89" spans="1:7">
      <c r="A89" s="11"/>
      <c r="B89" s="11"/>
      <c r="C89" s="38"/>
      <c r="D89" s="12"/>
      <c r="E89" s="11"/>
      <c r="F89" s="11"/>
      <c r="G89" s="11"/>
    </row>
    <row r="90" spans="1:7">
      <c r="A90" s="11"/>
      <c r="B90" s="11"/>
      <c r="C90" s="38"/>
      <c r="D90" s="12"/>
      <c r="E90" s="11"/>
      <c r="F90" s="11"/>
      <c r="G90" s="11"/>
    </row>
    <row r="91" spans="1:7">
      <c r="A91" s="11"/>
      <c r="B91" s="11"/>
      <c r="C91" s="38"/>
      <c r="D91" s="12"/>
      <c r="E91" s="11"/>
      <c r="F91" s="11"/>
      <c r="G91" s="11"/>
    </row>
    <row r="92" spans="1:7">
      <c r="A92" s="11"/>
      <c r="B92" s="11"/>
      <c r="C92" s="38"/>
      <c r="D92" s="12"/>
      <c r="E92" s="11"/>
      <c r="F92" s="11"/>
      <c r="G92" s="11"/>
    </row>
    <row r="93" spans="1:7">
      <c r="A93" s="11"/>
      <c r="B93" s="11"/>
      <c r="C93" s="38"/>
      <c r="D93" s="12"/>
      <c r="E93" s="11"/>
      <c r="F93" s="11"/>
      <c r="G93" s="11"/>
    </row>
    <row r="94" spans="1:7">
      <c r="A94" s="11"/>
      <c r="B94" s="11"/>
      <c r="C94" s="38"/>
      <c r="D94" s="12"/>
      <c r="E94" s="11"/>
      <c r="F94" s="11"/>
      <c r="G94" s="11"/>
    </row>
    <row r="95" spans="1:7">
      <c r="A95" s="11"/>
      <c r="B95" s="11"/>
      <c r="C95" s="38"/>
      <c r="D95" s="12"/>
      <c r="E95" s="11"/>
      <c r="F95" s="11"/>
      <c r="G95" s="11"/>
    </row>
    <row r="96" spans="1:7">
      <c r="A96" s="11"/>
      <c r="B96" s="11"/>
      <c r="C96" s="38"/>
      <c r="D96" s="12"/>
      <c r="E96" s="11"/>
      <c r="F96" s="11"/>
      <c r="G96" s="11"/>
    </row>
    <row r="97" spans="1:7">
      <c r="A97" s="11"/>
      <c r="B97" s="11"/>
      <c r="C97" s="38"/>
      <c r="D97" s="12"/>
      <c r="E97" s="11"/>
      <c r="F97" s="11"/>
      <c r="G97" s="11"/>
    </row>
    <row r="98" spans="1:7">
      <c r="A98" s="11"/>
      <c r="B98" s="11"/>
      <c r="C98" s="38"/>
      <c r="D98" s="12"/>
      <c r="E98" s="11"/>
      <c r="F98" s="11"/>
      <c r="G98" s="11"/>
    </row>
    <row r="99" spans="1:7">
      <c r="A99" s="11"/>
      <c r="B99" s="11"/>
      <c r="C99" s="38"/>
      <c r="D99" s="12"/>
      <c r="E99" s="11"/>
      <c r="F99" s="11"/>
      <c r="G99" s="11"/>
    </row>
    <row r="100" spans="1:7">
      <c r="A100" s="11"/>
      <c r="B100" s="11"/>
      <c r="C100" s="38"/>
      <c r="D100" s="12"/>
      <c r="E100" s="11"/>
      <c r="F100" s="11"/>
      <c r="G100" s="11"/>
    </row>
    <row r="101" spans="1:7">
      <c r="A101" s="11"/>
      <c r="B101" s="11"/>
      <c r="C101" s="38"/>
      <c r="D101" s="12"/>
      <c r="E101" s="11"/>
      <c r="F101" s="11"/>
      <c r="G101" s="11"/>
    </row>
  </sheetData>
  <mergeCells count="2">
    <mergeCell ref="A1:G1"/>
    <mergeCell ref="A2:G2"/>
  </mergeCells>
  <conditionalFormatting sqref="A7:G200">
    <cfRule type="expression" dxfId="5" priority="1">
      <formula>AND($B7="Completed")</formula>
    </cfRule>
    <cfRule type="expression" dxfId="4" priority="2">
      <formula>AND($D7&lt;&gt;"",$D7&gt;=TODAY(),$D7&lt;=TODAY()+2,$B7&lt;&gt;"Completed")</formula>
    </cfRule>
    <cfRule type="expression" dxfId="3" priority="3">
      <formula>AND($D7&lt;&gt;"",$D7&lt;TODAY(),$B7&lt;&gt;"Completed")</formula>
    </cfRule>
  </conditionalFormatting>
  <conditionalFormatting sqref="B6:B1048576">
    <cfRule type="containsText" dxfId="2" priority="4" operator="containsText" text="Not Started">
      <formula>NOT(ISERROR(SEARCH("Not Started",B6)))</formula>
    </cfRule>
    <cfRule type="containsText" dxfId="1" priority="5" operator="containsText" text="In Progress">
      <formula>NOT(ISERROR(SEARCH("In Progress",B6)))</formula>
    </cfRule>
    <cfRule type="containsText" dxfId="0" priority="6" operator="containsText" text="Completed">
      <formula>NOT(ISERROR(SEARCH("Completed",B6)))</formula>
    </cfRule>
  </conditionalFormatting>
  <dataValidations count="3">
    <dataValidation type="list" allowBlank="1" showInputMessage="1" showErrorMessage="1" sqref="B6:B29" xr:uid="{85C50595-9BE4-4F90-BD96-804D373E9F01}">
      <formula1>"Not Started,In Progress,Completed"</formula1>
    </dataValidation>
    <dataValidation allowBlank="1" showInputMessage="1" showErrorMessage="1" promptTitle="Priority" prompt="High, Medium, Low" sqref="F6" xr:uid="{FF117803-C2D2-4D21-8213-14D84B2ACC1E}"/>
    <dataValidation type="list" allowBlank="1" showInputMessage="1" showErrorMessage="1" promptTitle="Priority" prompt="High, Low, Medium" sqref="F7:F101" xr:uid="{A81F7587-FCA4-42BA-B33F-33CFF971D615}">
      <formula1>"High, Medium, Low"</formula1>
    </dataValidation>
  </dataValidations>
  <pageMargins left="0.25" right="0.25" top="0.75" bottom="0.75" header="0.3" footer="0.3"/>
  <pageSetup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workbookViewId="0">
      <selection activeCell="A25" sqref="A25"/>
    </sheetView>
  </sheetViews>
  <sheetFormatPr defaultRowHeight="14.4"/>
  <cols>
    <col min="1" max="1" width="30" customWidth="1"/>
    <col min="2" max="2" width="40" customWidth="1"/>
    <col min="6" max="6" width="10.33203125" bestFit="1" customWidth="1"/>
  </cols>
  <sheetData>
    <row r="1" spans="1:7">
      <c r="A1" s="213" t="s">
        <v>113</v>
      </c>
      <c r="B1" s="214"/>
    </row>
    <row r="3" spans="1:7">
      <c r="A3" s="2" t="s">
        <v>125</v>
      </c>
    </row>
    <row r="4" spans="1:7">
      <c r="A4" s="2" t="s">
        <v>126</v>
      </c>
    </row>
    <row r="5" spans="1:7">
      <c r="A5" s="2" t="s">
        <v>0</v>
      </c>
    </row>
    <row r="6" spans="1:7">
      <c r="A6" s="6" t="s">
        <v>112</v>
      </c>
    </row>
    <row r="7" spans="1:7" ht="21">
      <c r="A7" s="2" t="s">
        <v>1</v>
      </c>
      <c r="F7" s="51">
        <f>COUNTIFS('Systems Access'!B2:B200,TRUE,'Systems Access'!D2:D200,"&lt;&gt;True")/COUNTIFS('Systems Access'!D2:D200,"&lt;&gt;True",'Systems Access'!A2:A200,"&lt;&gt;")</f>
        <v>0.72</v>
      </c>
      <c r="G7" s="51"/>
    </row>
    <row r="8" spans="1:7" ht="21">
      <c r="A8" s="2" t="s">
        <v>5</v>
      </c>
      <c r="F8" s="51"/>
      <c r="G8" s="51"/>
    </row>
    <row r="9" spans="1:7">
      <c r="A9" s="2" t="s">
        <v>6</v>
      </c>
    </row>
    <row r="14" spans="1:7">
      <c r="A14" s="2" t="s">
        <v>2</v>
      </c>
      <c r="B14" t="s">
        <v>127</v>
      </c>
    </row>
    <row r="15" spans="1:7">
      <c r="A15" s="2" t="s">
        <v>3</v>
      </c>
      <c r="B15" s="3" t="s">
        <v>128</v>
      </c>
    </row>
    <row r="16" spans="1:7">
      <c r="A16" s="2" t="s">
        <v>4</v>
      </c>
      <c r="B16" t="s">
        <v>131</v>
      </c>
    </row>
    <row r="20" spans="1:2">
      <c r="A20" s="2" t="s">
        <v>2</v>
      </c>
      <c r="B20" t="s">
        <v>132</v>
      </c>
    </row>
    <row r="21" spans="1:2">
      <c r="A21" s="2" t="s">
        <v>3</v>
      </c>
      <c r="B21" s="3" t="s">
        <v>129</v>
      </c>
    </row>
    <row r="22" spans="1:2">
      <c r="A22" s="2" t="s">
        <v>4</v>
      </c>
      <c r="B22" t="s">
        <v>134</v>
      </c>
    </row>
    <row r="25" spans="1:2">
      <c r="A25" s="2" t="s">
        <v>2</v>
      </c>
      <c r="B25" t="s">
        <v>133</v>
      </c>
    </row>
    <row r="26" spans="1:2">
      <c r="A26" s="2" t="s">
        <v>3</v>
      </c>
      <c r="B26" s="3" t="s">
        <v>130</v>
      </c>
    </row>
    <row r="27" spans="1:2">
      <c r="A27" s="2" t="s">
        <v>4</v>
      </c>
      <c r="B27" t="s">
        <v>135</v>
      </c>
    </row>
  </sheetData>
  <mergeCells count="1">
    <mergeCell ref="A1:B1"/>
  </mergeCells>
  <hyperlinks>
    <hyperlink ref="B15" r:id="rId1" xr:uid="{241221EA-4D6A-4163-8A0D-FCD9D86E61FD}"/>
    <hyperlink ref="B21" r:id="rId2" xr:uid="{D25B8B97-7019-4168-8714-DED27160F300}"/>
    <hyperlink ref="B26" r:id="rId3" xr:uid="{7344B23F-5403-4313-AA06-2EA19B4FFDF1}"/>
  </hyperlinks>
  <pageMargins left="0.25" right="0.25" top="0.75" bottom="0.75" header="0.3" footer="0.3"/>
  <pageSetup scale="79" orientation="landscape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5"/>
  <sheetViews>
    <sheetView topLeftCell="A3" workbookViewId="0">
      <selection activeCell="B20" sqref="B20"/>
    </sheetView>
  </sheetViews>
  <sheetFormatPr defaultRowHeight="14.4"/>
  <cols>
    <col min="1" max="1" width="35" customWidth="1"/>
    <col min="4" max="4" width="14.6640625" customWidth="1"/>
    <col min="5" max="5" width="190.88671875" customWidth="1"/>
    <col min="6" max="6" width="28.109375" customWidth="1"/>
  </cols>
  <sheetData>
    <row r="1" spans="1:7">
      <c r="A1" s="1" t="s">
        <v>7</v>
      </c>
      <c r="B1" s="1" t="s">
        <v>8</v>
      </c>
      <c r="C1" s="1" t="s">
        <v>9</v>
      </c>
      <c r="D1" s="1" t="s">
        <v>137</v>
      </c>
      <c r="E1" s="1" t="s">
        <v>6</v>
      </c>
    </row>
    <row r="2" spans="1:7" ht="30" customHeight="1">
      <c r="A2" s="14" t="s">
        <v>81</v>
      </c>
      <c r="B2" s="15" t="b">
        <v>1</v>
      </c>
      <c r="C2" s="16" t="b">
        <v>0</v>
      </c>
      <c r="D2" s="17" t="b">
        <v>0</v>
      </c>
      <c r="E2" s="14"/>
    </row>
    <row r="3" spans="1:7" ht="27" customHeight="1">
      <c r="A3" s="14" t="s">
        <v>82</v>
      </c>
      <c r="B3" s="15" t="b">
        <v>1</v>
      </c>
      <c r="C3" s="16" t="b">
        <v>0</v>
      </c>
      <c r="D3" s="17" t="b">
        <v>0</v>
      </c>
      <c r="E3" s="14"/>
    </row>
    <row r="4" spans="1:7" ht="29.4" customHeight="1">
      <c r="A4" s="14" t="s">
        <v>83</v>
      </c>
      <c r="B4" s="15" t="b">
        <v>1</v>
      </c>
      <c r="C4" s="16" t="b">
        <v>0</v>
      </c>
      <c r="D4" s="17" t="b">
        <v>0</v>
      </c>
      <c r="E4" s="14"/>
    </row>
    <row r="5" spans="1:7" ht="25.8" customHeight="1">
      <c r="A5" s="14" t="s">
        <v>84</v>
      </c>
      <c r="B5" s="15" t="b">
        <v>1</v>
      </c>
      <c r="C5" s="16" t="b">
        <v>0</v>
      </c>
      <c r="D5" s="17" t="b">
        <v>0</v>
      </c>
      <c r="E5" s="14"/>
    </row>
    <row r="6" spans="1:7" ht="29.4" customHeight="1">
      <c r="A6" s="14" t="s">
        <v>85</v>
      </c>
      <c r="B6" s="15" t="b">
        <v>1</v>
      </c>
      <c r="C6" s="16" t="b">
        <v>0</v>
      </c>
      <c r="D6" s="17" t="b">
        <v>0</v>
      </c>
      <c r="E6" s="14"/>
    </row>
    <row r="7" spans="1:7" ht="25.8" customHeight="1">
      <c r="A7" s="14" t="s">
        <v>86</v>
      </c>
      <c r="B7" s="15" t="b">
        <v>1</v>
      </c>
      <c r="C7" s="16" t="b">
        <v>0</v>
      </c>
      <c r="D7" s="17" t="b">
        <v>0</v>
      </c>
      <c r="E7" s="14"/>
      <c r="F7" s="51">
        <f>COUNTIFS('Systems Access'!B2:B200,TRUE,'Systems Access'!D2:D200,"&lt;&gt;True")/COUNTIFS('Systems Access'!D2:D200,"&lt;&gt;True",'Systems Access'!A2:A200,"&lt;&gt;")</f>
        <v>0.72</v>
      </c>
      <c r="G7" s="51"/>
    </row>
    <row r="8" spans="1:7" ht="27.6" customHeight="1">
      <c r="A8" s="14" t="s">
        <v>87</v>
      </c>
      <c r="B8" s="15" t="b">
        <v>1</v>
      </c>
      <c r="C8" s="16" t="b">
        <v>0</v>
      </c>
      <c r="D8" s="17" t="b">
        <v>0</v>
      </c>
      <c r="E8" s="14"/>
      <c r="F8" s="51"/>
      <c r="G8" s="51"/>
    </row>
    <row r="9" spans="1:7" ht="25.8" customHeight="1">
      <c r="A9" s="14" t="s">
        <v>88</v>
      </c>
      <c r="B9" s="15" t="b">
        <v>1</v>
      </c>
      <c r="C9" s="16" t="b">
        <v>0</v>
      </c>
      <c r="D9" s="17" t="b">
        <v>0</v>
      </c>
      <c r="E9" s="14"/>
    </row>
    <row r="10" spans="1:7" ht="25.8" customHeight="1">
      <c r="A10" s="14" t="s">
        <v>136</v>
      </c>
      <c r="B10" s="15" t="b">
        <v>1</v>
      </c>
      <c r="C10" s="16" t="b">
        <v>0</v>
      </c>
      <c r="D10" s="17" t="b">
        <v>0</v>
      </c>
      <c r="E10" s="14"/>
    </row>
    <row r="11" spans="1:7" ht="28.2" customHeight="1">
      <c r="A11" s="14" t="s">
        <v>89</v>
      </c>
      <c r="B11" s="15" t="b">
        <v>1</v>
      </c>
      <c r="C11" s="16" t="b">
        <v>0</v>
      </c>
      <c r="D11" s="17" t="b">
        <v>0</v>
      </c>
      <c r="E11" s="14"/>
    </row>
    <row r="12" spans="1:7" ht="24" customHeight="1">
      <c r="A12" s="14" t="s">
        <v>90</v>
      </c>
      <c r="B12" s="15" t="b">
        <v>1</v>
      </c>
      <c r="C12" s="16" t="b">
        <v>0</v>
      </c>
      <c r="D12" s="17" t="b">
        <v>0</v>
      </c>
      <c r="E12" s="14"/>
    </row>
    <row r="13" spans="1:7" ht="25.8" customHeight="1">
      <c r="A13" s="14" t="s">
        <v>91</v>
      </c>
      <c r="B13" s="15" t="b">
        <v>1</v>
      </c>
      <c r="C13" s="16" t="b">
        <v>0</v>
      </c>
      <c r="D13" s="17" t="b">
        <v>0</v>
      </c>
      <c r="E13" s="14"/>
    </row>
    <row r="14" spans="1:7" ht="26.4" customHeight="1">
      <c r="A14" s="14" t="s">
        <v>92</v>
      </c>
      <c r="B14" s="15" t="b">
        <v>1</v>
      </c>
      <c r="C14" s="16" t="b">
        <v>0</v>
      </c>
      <c r="D14" s="17" t="b">
        <v>0</v>
      </c>
      <c r="E14" s="14"/>
    </row>
    <row r="15" spans="1:7" ht="28.8" customHeight="1">
      <c r="A15" s="14" t="s">
        <v>93</v>
      </c>
      <c r="B15" s="15" t="b">
        <v>1</v>
      </c>
      <c r="C15" s="16" t="b">
        <v>0</v>
      </c>
      <c r="D15" s="17" t="b">
        <v>0</v>
      </c>
      <c r="E15" s="14"/>
    </row>
    <row r="16" spans="1:7" ht="30.6" customHeight="1">
      <c r="A16" s="14" t="s">
        <v>94</v>
      </c>
      <c r="B16" s="15" t="b">
        <v>1</v>
      </c>
      <c r="C16" s="16" t="b">
        <v>0</v>
      </c>
      <c r="D16" s="17" t="b">
        <v>0</v>
      </c>
      <c r="E16" s="14"/>
    </row>
    <row r="17" spans="1:5" ht="31.8" customHeight="1">
      <c r="A17" s="14" t="s">
        <v>95</v>
      </c>
      <c r="B17" s="15" t="b">
        <v>0</v>
      </c>
      <c r="C17" s="16" t="b">
        <v>0</v>
      </c>
      <c r="D17" s="17" t="b">
        <v>0</v>
      </c>
      <c r="E17" s="14"/>
    </row>
    <row r="18" spans="1:5" ht="28.8" customHeight="1">
      <c r="A18" s="14" t="s">
        <v>96</v>
      </c>
      <c r="B18" s="15" t="b">
        <v>1</v>
      </c>
      <c r="C18" s="16" t="b">
        <v>0</v>
      </c>
      <c r="D18" s="17" t="b">
        <v>0</v>
      </c>
      <c r="E18" s="14"/>
    </row>
    <row r="19" spans="1:5" ht="29.4" customHeight="1">
      <c r="A19" s="14" t="s">
        <v>189</v>
      </c>
      <c r="B19" s="15" t="b">
        <v>1</v>
      </c>
      <c r="C19" s="16" t="b">
        <v>0</v>
      </c>
      <c r="D19" s="17" t="b">
        <v>0</v>
      </c>
      <c r="E19" s="14"/>
    </row>
    <row r="20" spans="1:5" ht="29.4" customHeight="1">
      <c r="A20" s="14" t="s">
        <v>97</v>
      </c>
      <c r="B20" s="15" t="b">
        <v>1</v>
      </c>
      <c r="C20" s="16" t="b">
        <v>0</v>
      </c>
      <c r="D20" s="17" t="b">
        <v>0</v>
      </c>
      <c r="E20" s="14"/>
    </row>
    <row r="21" spans="1:5" ht="34.799999999999997" customHeight="1">
      <c r="A21" s="14" t="s">
        <v>98</v>
      </c>
      <c r="B21" s="15" t="b">
        <v>0</v>
      </c>
      <c r="C21" s="16" t="b">
        <v>0</v>
      </c>
      <c r="D21" s="17" t="b">
        <v>0</v>
      </c>
      <c r="E21" s="14"/>
    </row>
    <row r="22" spans="1:5" ht="32.4" customHeight="1">
      <c r="A22" s="14" t="s">
        <v>99</v>
      </c>
      <c r="B22" s="15" t="b">
        <v>0</v>
      </c>
      <c r="C22" s="16" t="b">
        <v>0</v>
      </c>
      <c r="D22" s="17" t="b">
        <v>0</v>
      </c>
      <c r="E22" s="14"/>
    </row>
    <row r="23" spans="1:5" ht="30" customHeight="1">
      <c r="A23" s="14" t="s">
        <v>100</v>
      </c>
      <c r="B23" s="15" t="b">
        <v>0</v>
      </c>
      <c r="C23" s="16" t="b">
        <v>0</v>
      </c>
      <c r="D23" s="17" t="b">
        <v>0</v>
      </c>
      <c r="E23" s="14"/>
    </row>
    <row r="24" spans="1:5" ht="29.4" customHeight="1">
      <c r="A24" s="14" t="s">
        <v>101</v>
      </c>
      <c r="B24" s="15" t="b">
        <v>0</v>
      </c>
      <c r="C24" s="16" t="b">
        <v>0</v>
      </c>
      <c r="D24" s="17" t="b">
        <v>0</v>
      </c>
      <c r="E24" s="14"/>
    </row>
    <row r="25" spans="1:5" ht="30" customHeight="1">
      <c r="A25" s="14" t="s">
        <v>102</v>
      </c>
      <c r="B25" s="15" t="b">
        <v>0</v>
      </c>
      <c r="C25" s="16" t="b">
        <v>0</v>
      </c>
      <c r="D25" s="17" t="b">
        <v>0</v>
      </c>
      <c r="E25" s="14"/>
    </row>
    <row r="26" spans="1:5" ht="28.8" customHeight="1">
      <c r="A26" s="14" t="s">
        <v>103</v>
      </c>
      <c r="B26" s="15" t="b">
        <v>0</v>
      </c>
      <c r="C26" s="16" t="b">
        <v>0</v>
      </c>
      <c r="D26" s="17" t="b">
        <v>0</v>
      </c>
      <c r="E26" s="14"/>
    </row>
    <row r="27" spans="1:5" ht="28.2" customHeight="1">
      <c r="A27" s="14"/>
      <c r="B27" s="14"/>
      <c r="C27" s="14"/>
      <c r="D27" s="14"/>
      <c r="E27" s="14"/>
    </row>
    <row r="28" spans="1:5" ht="28.2" customHeight="1">
      <c r="A28" s="14"/>
      <c r="B28" s="14"/>
      <c r="C28" s="14"/>
      <c r="D28" s="14"/>
      <c r="E28" s="14"/>
    </row>
    <row r="29" spans="1:5">
      <c r="A29" s="14"/>
      <c r="B29" s="14"/>
      <c r="C29" s="14"/>
      <c r="D29" s="14"/>
      <c r="E29" s="14"/>
    </row>
    <row r="30" spans="1:5">
      <c r="A30" s="14"/>
      <c r="B30" s="14"/>
      <c r="C30" s="14"/>
      <c r="D30" s="14"/>
      <c r="E30" s="14"/>
    </row>
    <row r="31" spans="1:5">
      <c r="A31" s="14"/>
      <c r="B31" s="14"/>
      <c r="C31" s="14"/>
      <c r="D31" s="14"/>
      <c r="E31" s="14"/>
    </row>
    <row r="32" spans="1:5">
      <c r="A32" s="14"/>
      <c r="B32" s="14"/>
      <c r="C32" s="14"/>
      <c r="D32" s="14"/>
      <c r="E32" s="14"/>
    </row>
    <row r="33" spans="1:5">
      <c r="A33" s="14"/>
      <c r="B33" s="14"/>
      <c r="C33" s="14"/>
      <c r="D33" s="14"/>
      <c r="E33" s="14"/>
    </row>
    <row r="34" spans="1:5">
      <c r="A34" s="14"/>
      <c r="B34" s="14"/>
      <c r="C34" s="14"/>
      <c r="D34" s="14"/>
      <c r="E34" s="14"/>
    </row>
    <row r="35" spans="1:5">
      <c r="A35" s="14"/>
      <c r="B35" s="14"/>
      <c r="C35" s="14"/>
      <c r="D35" s="14"/>
      <c r="E35" s="14"/>
    </row>
    <row r="36" spans="1:5">
      <c r="A36" s="14"/>
      <c r="B36" s="14"/>
      <c r="C36" s="14"/>
      <c r="D36" s="14"/>
      <c r="E36" s="14"/>
    </row>
    <row r="37" spans="1:5">
      <c r="A37" s="14"/>
      <c r="B37" s="14"/>
      <c r="C37" s="14"/>
      <c r="D37" s="14"/>
      <c r="E37" s="14"/>
    </row>
    <row r="38" spans="1:5">
      <c r="A38" s="14"/>
      <c r="B38" s="14"/>
      <c r="C38" s="14"/>
      <c r="D38" s="14"/>
      <c r="E38" s="14"/>
    </row>
    <row r="39" spans="1:5">
      <c r="A39" s="14"/>
      <c r="B39" s="14"/>
      <c r="C39" s="14"/>
      <c r="D39" s="14"/>
      <c r="E39" s="14"/>
    </row>
    <row r="40" spans="1:5">
      <c r="A40" s="14"/>
      <c r="B40" s="14"/>
      <c r="C40" s="14"/>
      <c r="D40" s="14"/>
      <c r="E40" s="14"/>
    </row>
    <row r="41" spans="1:5">
      <c r="A41" s="14"/>
      <c r="B41" s="14"/>
      <c r="C41" s="14"/>
      <c r="D41" s="14"/>
      <c r="E41" s="14"/>
    </row>
    <row r="42" spans="1:5">
      <c r="A42" s="14"/>
      <c r="B42" s="14"/>
      <c r="C42" s="14"/>
      <c r="D42" s="14"/>
      <c r="E42" s="14"/>
    </row>
    <row r="43" spans="1:5">
      <c r="A43" s="14"/>
      <c r="B43" s="14"/>
      <c r="C43" s="14"/>
      <c r="D43" s="14"/>
      <c r="E43" s="14"/>
    </row>
    <row r="44" spans="1:5">
      <c r="A44" s="14"/>
      <c r="B44" s="14"/>
      <c r="C44" s="14"/>
      <c r="D44" s="14"/>
      <c r="E44" s="14"/>
    </row>
    <row r="45" spans="1:5">
      <c r="A45" s="14"/>
      <c r="B45" s="14"/>
      <c r="C45" s="14"/>
      <c r="D45" s="14"/>
      <c r="E45" s="14"/>
    </row>
  </sheetData>
  <pageMargins left="0.25" right="0.25" top="0.75" bottom="0.75" header="0.3" footer="0.3"/>
  <pageSetup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6"/>
  <sheetViews>
    <sheetView workbookViewId="0">
      <selection activeCell="C17" sqref="C17"/>
    </sheetView>
  </sheetViews>
  <sheetFormatPr defaultRowHeight="14.4"/>
  <cols>
    <col min="1" max="1" width="38.77734375" customWidth="1"/>
    <col min="2" max="2" width="116.44140625" customWidth="1"/>
    <col min="3" max="3" width="27.6640625" customWidth="1"/>
  </cols>
  <sheetData>
    <row r="1" spans="1:3">
      <c r="A1" s="215" t="s">
        <v>105</v>
      </c>
      <c r="B1" s="214"/>
      <c r="C1" s="4"/>
    </row>
    <row r="3" spans="1:3" ht="19.2" customHeight="1">
      <c r="A3" s="2" t="s">
        <v>10</v>
      </c>
      <c r="B3" t="s">
        <v>64</v>
      </c>
    </row>
    <row r="4" spans="1:3" ht="19.2" customHeight="1">
      <c r="A4" s="2" t="s">
        <v>11</v>
      </c>
      <c r="B4" t="s">
        <v>65</v>
      </c>
    </row>
    <row r="5" spans="1:3" ht="20.399999999999999" customHeight="1">
      <c r="A5" s="2" t="s">
        <v>16</v>
      </c>
    </row>
    <row r="6" spans="1:3" ht="18" customHeight="1">
      <c r="A6" s="2" t="s">
        <v>6</v>
      </c>
      <c r="B6" t="s">
        <v>104</v>
      </c>
    </row>
    <row r="9" spans="1:3" ht="15" customHeight="1">
      <c r="A9" s="5" t="s">
        <v>27</v>
      </c>
      <c r="B9" s="5" t="s">
        <v>6</v>
      </c>
      <c r="C9" s="69" t="s">
        <v>182</v>
      </c>
    </row>
    <row r="10" spans="1:3" ht="15" customHeight="1">
      <c r="A10" s="2" t="s">
        <v>21</v>
      </c>
      <c r="B10" t="s">
        <v>140</v>
      </c>
      <c r="C10" s="7" t="b">
        <v>0</v>
      </c>
    </row>
    <row r="11" spans="1:3" ht="19.2" customHeight="1">
      <c r="A11" s="2" t="s">
        <v>24</v>
      </c>
      <c r="B11" t="s">
        <v>148</v>
      </c>
      <c r="C11" s="7" t="b">
        <v>1</v>
      </c>
    </row>
    <row r="12" spans="1:3" ht="19.2" customHeight="1">
      <c r="A12" s="2" t="s">
        <v>40</v>
      </c>
      <c r="B12" s="13" t="s">
        <v>149</v>
      </c>
      <c r="C12" s="7" t="b">
        <v>1</v>
      </c>
    </row>
    <row r="13" spans="1:3" ht="19.2" customHeight="1">
      <c r="A13" s="2" t="s">
        <v>20</v>
      </c>
      <c r="B13" s="13" t="s">
        <v>150</v>
      </c>
      <c r="C13" s="7" t="b">
        <v>1</v>
      </c>
    </row>
    <row r="14" spans="1:3" ht="18" customHeight="1">
      <c r="A14" s="2" t="s">
        <v>22</v>
      </c>
      <c r="B14" t="s">
        <v>151</v>
      </c>
      <c r="C14" s="7" t="b">
        <v>1</v>
      </c>
    </row>
    <row r="15" spans="1:3" ht="21" customHeight="1">
      <c r="A15" s="2" t="s">
        <v>23</v>
      </c>
      <c r="B15" t="s">
        <v>151</v>
      </c>
      <c r="C15" s="7" t="b">
        <v>1</v>
      </c>
    </row>
    <row r="16" spans="1:3" ht="19.2" customHeight="1">
      <c r="A16" s="2" t="s">
        <v>26</v>
      </c>
      <c r="B16" t="s">
        <v>152</v>
      </c>
      <c r="C16" s="7" t="b">
        <v>1</v>
      </c>
    </row>
    <row r="17" spans="1:3" ht="19.8" customHeight="1">
      <c r="A17" s="2" t="s">
        <v>29</v>
      </c>
      <c r="B17" s="13" t="s">
        <v>153</v>
      </c>
      <c r="C17" s="7" t="b">
        <v>1</v>
      </c>
    </row>
    <row r="18" spans="1:3" ht="22.2" customHeight="1">
      <c r="A18" s="2" t="s">
        <v>107</v>
      </c>
      <c r="B18" s="13" t="s">
        <v>154</v>
      </c>
      <c r="C18" s="7" t="b">
        <v>0</v>
      </c>
    </row>
    <row r="19" spans="1:3" ht="21" customHeight="1">
      <c r="A19" s="2" t="s">
        <v>28</v>
      </c>
      <c r="B19" s="13" t="s">
        <v>157</v>
      </c>
      <c r="C19" s="7" t="b">
        <v>0</v>
      </c>
    </row>
    <row r="20" spans="1:3" ht="21" customHeight="1">
      <c r="A20" s="2" t="s">
        <v>34</v>
      </c>
      <c r="B20" s="13" t="s">
        <v>155</v>
      </c>
      <c r="C20" s="7" t="b">
        <v>0</v>
      </c>
    </row>
    <row r="21" spans="1:3" ht="22.2" customHeight="1">
      <c r="A21" s="2" t="s">
        <v>138</v>
      </c>
      <c r="B21" s="13" t="s">
        <v>156</v>
      </c>
      <c r="C21" s="7" t="b">
        <v>0</v>
      </c>
    </row>
    <row r="22" spans="1:3" ht="18" customHeight="1">
      <c r="A22" s="2" t="s">
        <v>43</v>
      </c>
      <c r="B22" s="13" t="s">
        <v>66</v>
      </c>
      <c r="C22" s="7" t="b">
        <v>0</v>
      </c>
    </row>
    <row r="23" spans="1:3">
      <c r="A23" s="4"/>
      <c r="B23" s="4"/>
      <c r="C23" s="4"/>
    </row>
    <row r="26" spans="1:3">
      <c r="A26" s="6" t="s">
        <v>106</v>
      </c>
    </row>
  </sheetData>
  <mergeCells count="1">
    <mergeCell ref="A1:B1"/>
  </mergeCells>
  <pageMargins left="0.25" right="0.25" top="0.75" bottom="0.75" header="0.3" footer="0.3"/>
  <pageSetup scale="6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8"/>
  <sheetViews>
    <sheetView topLeftCell="B4" workbookViewId="0">
      <selection activeCell="C18" sqref="C18"/>
    </sheetView>
  </sheetViews>
  <sheetFormatPr defaultRowHeight="14.4"/>
  <cols>
    <col min="1" max="1" width="40.33203125" customWidth="1"/>
    <col min="2" max="2" width="150.33203125" customWidth="1"/>
    <col min="3" max="3" width="30.5546875" customWidth="1"/>
  </cols>
  <sheetData>
    <row r="1" spans="1:3">
      <c r="A1" s="213" t="s">
        <v>108</v>
      </c>
      <c r="B1" s="214"/>
      <c r="C1" s="5"/>
    </row>
    <row r="3" spans="1:3">
      <c r="A3" s="2" t="s">
        <v>10</v>
      </c>
      <c r="B3" t="s">
        <v>67</v>
      </c>
    </row>
    <row r="4" spans="1:3">
      <c r="A4" s="2" t="s">
        <v>11</v>
      </c>
      <c r="B4" t="s">
        <v>65</v>
      </c>
    </row>
    <row r="5" spans="1:3">
      <c r="A5" s="2" t="s">
        <v>12</v>
      </c>
      <c r="B5" t="s">
        <v>68</v>
      </c>
    </row>
    <row r="6" spans="1:3">
      <c r="A6" s="2" t="s">
        <v>13</v>
      </c>
      <c r="B6" t="s">
        <v>69</v>
      </c>
    </row>
    <row r="7" spans="1:3">
      <c r="A7" s="2" t="s">
        <v>14</v>
      </c>
      <c r="B7" t="s">
        <v>69</v>
      </c>
    </row>
    <row r="8" spans="1:3">
      <c r="A8" s="2" t="s">
        <v>15</v>
      </c>
      <c r="B8" t="s">
        <v>69</v>
      </c>
    </row>
    <row r="9" spans="1:3">
      <c r="A9" s="2" t="s">
        <v>16</v>
      </c>
    </row>
    <row r="10" spans="1:3">
      <c r="A10" s="2" t="s">
        <v>6</v>
      </c>
      <c r="B10" t="s">
        <v>104</v>
      </c>
    </row>
    <row r="15" spans="1:3">
      <c r="A15" s="5" t="s">
        <v>33</v>
      </c>
      <c r="B15" s="5" t="s">
        <v>6</v>
      </c>
      <c r="C15" s="69" t="s">
        <v>224</v>
      </c>
    </row>
    <row r="16" spans="1:3">
      <c r="A16" s="2" t="s">
        <v>145</v>
      </c>
      <c r="B16" t="s">
        <v>70</v>
      </c>
      <c r="C16" s="7" t="b">
        <v>1</v>
      </c>
    </row>
    <row r="17" spans="1:3">
      <c r="A17" s="6" t="s">
        <v>38</v>
      </c>
      <c r="B17" t="s">
        <v>39</v>
      </c>
      <c r="C17" s="7" t="b">
        <v>1</v>
      </c>
    </row>
    <row r="18" spans="1:3">
      <c r="A18" s="2" t="s">
        <v>45</v>
      </c>
      <c r="B18" t="s">
        <v>141</v>
      </c>
      <c r="C18" s="7" t="b">
        <v>1</v>
      </c>
    </row>
    <row r="19" spans="1:3">
      <c r="A19" s="2" t="s">
        <v>46</v>
      </c>
      <c r="B19" t="s">
        <v>142</v>
      </c>
      <c r="C19" s="7" t="b">
        <v>0</v>
      </c>
    </row>
    <row r="20" spans="1:3">
      <c r="A20" s="2" t="s">
        <v>47</v>
      </c>
      <c r="B20" t="s">
        <v>109</v>
      </c>
      <c r="C20" s="7" t="b">
        <v>0</v>
      </c>
    </row>
    <row r="21" spans="1:3">
      <c r="A21" s="2" t="s">
        <v>138</v>
      </c>
      <c r="B21" t="s">
        <v>143</v>
      </c>
      <c r="C21" s="7" t="b">
        <v>0</v>
      </c>
    </row>
    <row r="22" spans="1:3">
      <c r="A22" s="2" t="s">
        <v>43</v>
      </c>
      <c r="B22" t="s">
        <v>66</v>
      </c>
      <c r="C22" s="7" t="b">
        <v>0</v>
      </c>
    </row>
    <row r="23" spans="1:3">
      <c r="A23" s="2"/>
    </row>
    <row r="24" spans="1:3">
      <c r="A24" s="5" t="s">
        <v>36</v>
      </c>
      <c r="B24" s="5"/>
      <c r="C24" s="5"/>
    </row>
    <row r="25" spans="1:3">
      <c r="A25" s="2" t="s">
        <v>139</v>
      </c>
      <c r="B25" t="s">
        <v>144</v>
      </c>
      <c r="C25" s="7" t="b">
        <v>0</v>
      </c>
    </row>
    <row r="28" spans="1:3">
      <c r="A28" s="6" t="s">
        <v>106</v>
      </c>
    </row>
  </sheetData>
  <mergeCells count="1">
    <mergeCell ref="A1:B1"/>
  </mergeCells>
  <pageMargins left="0.25" right="0.25" top="0.75" bottom="0.75" header="0.3" footer="0.3"/>
  <pageSetup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6"/>
  <sheetViews>
    <sheetView workbookViewId="0">
      <selection activeCell="C18" sqref="C18"/>
    </sheetView>
  </sheetViews>
  <sheetFormatPr defaultRowHeight="14.4"/>
  <cols>
    <col min="1" max="1" width="40.6640625" customWidth="1"/>
    <col min="2" max="2" width="118.44140625" customWidth="1"/>
    <col min="3" max="3" width="20.88671875" customWidth="1"/>
  </cols>
  <sheetData>
    <row r="1" spans="1:3">
      <c r="A1" s="215" t="s">
        <v>17</v>
      </c>
      <c r="B1" s="214"/>
      <c r="C1" s="5"/>
    </row>
    <row r="3" spans="1:3">
      <c r="A3" s="2" t="s">
        <v>10</v>
      </c>
      <c r="B3" t="s">
        <v>71</v>
      </c>
    </row>
    <row r="4" spans="1:3">
      <c r="A4" s="2" t="s">
        <v>11</v>
      </c>
      <c r="B4" t="s">
        <v>65</v>
      </c>
    </row>
    <row r="5" spans="1:3">
      <c r="A5" s="2" t="s">
        <v>12</v>
      </c>
      <c r="B5" t="s">
        <v>68</v>
      </c>
    </row>
    <row r="6" spans="1:3">
      <c r="A6" s="2" t="s">
        <v>13</v>
      </c>
      <c r="B6" t="s">
        <v>69</v>
      </c>
    </row>
    <row r="7" spans="1:3">
      <c r="A7" s="2" t="s">
        <v>14</v>
      </c>
      <c r="B7" t="s">
        <v>69</v>
      </c>
    </row>
    <row r="8" spans="1:3">
      <c r="A8" s="2" t="s">
        <v>15</v>
      </c>
      <c r="B8" t="s">
        <v>69</v>
      </c>
    </row>
    <row r="9" spans="1:3">
      <c r="A9" s="2" t="s">
        <v>16</v>
      </c>
    </row>
    <row r="10" spans="1:3">
      <c r="A10" s="2" t="s">
        <v>6</v>
      </c>
      <c r="B10" t="s">
        <v>104</v>
      </c>
    </row>
    <row r="15" spans="1:3">
      <c r="A15" s="5" t="s">
        <v>32</v>
      </c>
      <c r="B15" s="5"/>
      <c r="C15" s="69" t="s">
        <v>224</v>
      </c>
    </row>
    <row r="16" spans="1:3">
      <c r="A16" s="2" t="s">
        <v>145</v>
      </c>
      <c r="B16" t="s">
        <v>70</v>
      </c>
      <c r="C16" s="7" t="b">
        <v>1</v>
      </c>
    </row>
    <row r="17" spans="1:3">
      <c r="A17" s="6" t="s">
        <v>38</v>
      </c>
      <c r="B17" t="s">
        <v>44</v>
      </c>
      <c r="C17" s="7" t="b">
        <v>0</v>
      </c>
    </row>
    <row r="18" spans="1:3">
      <c r="A18" s="2" t="s">
        <v>25</v>
      </c>
      <c r="B18" t="s">
        <v>158</v>
      </c>
      <c r="C18" s="7" t="b">
        <v>1</v>
      </c>
    </row>
    <row r="19" spans="1:3">
      <c r="A19" s="6" t="s">
        <v>37</v>
      </c>
      <c r="B19" t="s">
        <v>159</v>
      </c>
      <c r="C19" s="7" t="b">
        <v>0</v>
      </c>
    </row>
    <row r="20" spans="1:3">
      <c r="A20" s="2" t="s">
        <v>43</v>
      </c>
      <c r="B20" t="s">
        <v>66</v>
      </c>
      <c r="C20" s="7" t="b">
        <v>0</v>
      </c>
    </row>
    <row r="21" spans="1:3">
      <c r="A21" s="2"/>
    </row>
    <row r="22" spans="1:3">
      <c r="A22" s="5" t="s">
        <v>36</v>
      </c>
      <c r="B22" s="5"/>
      <c r="C22" s="5"/>
    </row>
    <row r="23" spans="1:3">
      <c r="A23" s="6" t="s">
        <v>41</v>
      </c>
      <c r="B23" t="s">
        <v>42</v>
      </c>
      <c r="C23" s="7" t="b">
        <v>0</v>
      </c>
    </row>
    <row r="26" spans="1:3">
      <c r="A26" s="6" t="s">
        <v>106</v>
      </c>
    </row>
  </sheetData>
  <mergeCells count="1">
    <mergeCell ref="A1:B1"/>
  </mergeCells>
  <pageMargins left="0.25" right="0.25" top="0.75" bottom="0.75" header="0.3" footer="0.3"/>
  <pageSetup scale="7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4"/>
  <sheetViews>
    <sheetView workbookViewId="0">
      <selection activeCell="C17" sqref="C17"/>
    </sheetView>
  </sheetViews>
  <sheetFormatPr defaultRowHeight="14.4"/>
  <cols>
    <col min="1" max="1" width="35" customWidth="1"/>
    <col min="2" max="2" width="104" customWidth="1"/>
    <col min="3" max="3" width="34.33203125" customWidth="1"/>
  </cols>
  <sheetData>
    <row r="1" spans="1:3">
      <c r="A1" s="215" t="s">
        <v>18</v>
      </c>
      <c r="B1" s="214"/>
      <c r="C1" s="5"/>
    </row>
    <row r="3" spans="1:3">
      <c r="A3" s="2" t="s">
        <v>10</v>
      </c>
      <c r="B3" t="s">
        <v>72</v>
      </c>
    </row>
    <row r="4" spans="1:3">
      <c r="A4" s="2" t="s">
        <v>11</v>
      </c>
      <c r="B4" t="s">
        <v>65</v>
      </c>
      <c r="C4" s="23"/>
    </row>
    <row r="5" spans="1:3">
      <c r="A5" s="2" t="s">
        <v>12</v>
      </c>
      <c r="B5" t="s">
        <v>68</v>
      </c>
    </row>
    <row r="6" spans="1:3">
      <c r="A6" s="2" t="s">
        <v>13</v>
      </c>
      <c r="B6" t="s">
        <v>69</v>
      </c>
    </row>
    <row r="7" spans="1:3">
      <c r="A7" s="2" t="s">
        <v>14</v>
      </c>
      <c r="B7" t="s">
        <v>69</v>
      </c>
    </row>
    <row r="8" spans="1:3">
      <c r="A8" s="2" t="s">
        <v>15</v>
      </c>
      <c r="B8" t="s">
        <v>69</v>
      </c>
    </row>
    <row r="9" spans="1:3">
      <c r="A9" s="2" t="s">
        <v>16</v>
      </c>
    </row>
    <row r="10" spans="1:3">
      <c r="A10" s="2" t="s">
        <v>6</v>
      </c>
      <c r="B10" t="s">
        <v>110</v>
      </c>
    </row>
    <row r="13" spans="1:3">
      <c r="A13" s="5" t="s">
        <v>31</v>
      </c>
      <c r="B13" s="5"/>
      <c r="C13" s="69" t="s">
        <v>182</v>
      </c>
    </row>
    <row r="14" spans="1:3">
      <c r="A14" s="2" t="s">
        <v>145</v>
      </c>
      <c r="B14" t="s">
        <v>35</v>
      </c>
      <c r="C14" s="7" t="b">
        <v>1</v>
      </c>
    </row>
    <row r="15" spans="1:3">
      <c r="A15" s="6" t="s">
        <v>38</v>
      </c>
      <c r="B15" t="s">
        <v>146</v>
      </c>
      <c r="C15" s="7" t="b">
        <v>1</v>
      </c>
    </row>
    <row r="16" spans="1:3">
      <c r="A16" s="6" t="s">
        <v>41</v>
      </c>
      <c r="B16" t="s">
        <v>50</v>
      </c>
      <c r="C16" s="7" t="b">
        <v>1</v>
      </c>
    </row>
    <row r="17" spans="1:3">
      <c r="A17" s="2" t="s">
        <v>49</v>
      </c>
      <c r="B17" t="s">
        <v>51</v>
      </c>
      <c r="C17" s="7" t="b">
        <v>1</v>
      </c>
    </row>
    <row r="18" spans="1:3">
      <c r="A18" s="2" t="s">
        <v>145</v>
      </c>
      <c r="B18" t="s">
        <v>48</v>
      </c>
      <c r="C18" s="7" t="b">
        <v>0</v>
      </c>
    </row>
    <row r="19" spans="1:3">
      <c r="A19" s="6" t="s">
        <v>41</v>
      </c>
      <c r="B19" t="s">
        <v>50</v>
      </c>
      <c r="C19" s="7" t="b">
        <v>0</v>
      </c>
    </row>
    <row r="20" spans="1:3">
      <c r="A20" s="2" t="s">
        <v>43</v>
      </c>
      <c r="B20" t="s">
        <v>147</v>
      </c>
      <c r="C20" s="7" t="b">
        <v>0</v>
      </c>
    </row>
    <row r="21" spans="1:3">
      <c r="A21" s="5"/>
      <c r="B21" s="5"/>
      <c r="C21" s="5"/>
    </row>
    <row r="24" spans="1:3">
      <c r="A24" s="6" t="s">
        <v>106</v>
      </c>
    </row>
  </sheetData>
  <mergeCells count="1">
    <mergeCell ref="A1:B1"/>
  </mergeCells>
  <pageMargins left="0.25" right="0.25" top="0.75" bottom="0.75" header="0.3" footer="0.3"/>
  <pageSetup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26"/>
  <sheetViews>
    <sheetView workbookViewId="0">
      <selection activeCell="C18" sqref="C18"/>
    </sheetView>
  </sheetViews>
  <sheetFormatPr defaultRowHeight="14.4"/>
  <cols>
    <col min="1" max="1" width="34.5546875" customWidth="1"/>
    <col min="2" max="2" width="117.88671875" customWidth="1"/>
    <col min="3" max="3" width="30.33203125" customWidth="1"/>
  </cols>
  <sheetData>
    <row r="1" spans="1:3">
      <c r="A1" s="215" t="s">
        <v>19</v>
      </c>
      <c r="B1" s="214"/>
      <c r="C1" s="5"/>
    </row>
    <row r="3" spans="1:3">
      <c r="A3" s="2" t="s">
        <v>10</v>
      </c>
      <c r="B3" t="s">
        <v>73</v>
      </c>
    </row>
    <row r="4" spans="1:3">
      <c r="A4" s="2" t="s">
        <v>11</v>
      </c>
      <c r="B4" t="s">
        <v>65</v>
      </c>
    </row>
    <row r="5" spans="1:3">
      <c r="A5" s="2" t="s">
        <v>12</v>
      </c>
    </row>
    <row r="6" spans="1:3">
      <c r="A6" s="2" t="s">
        <v>13</v>
      </c>
      <c r="B6" t="s">
        <v>69</v>
      </c>
    </row>
    <row r="7" spans="1:3">
      <c r="A7" s="2" t="s">
        <v>14</v>
      </c>
      <c r="B7" t="s">
        <v>69</v>
      </c>
    </row>
    <row r="8" spans="1:3">
      <c r="A8" s="2" t="s">
        <v>15</v>
      </c>
      <c r="B8" t="s">
        <v>69</v>
      </c>
    </row>
    <row r="9" spans="1:3">
      <c r="A9" s="2" t="s">
        <v>16</v>
      </c>
    </row>
    <row r="10" spans="1:3">
      <c r="A10" s="2" t="s">
        <v>6</v>
      </c>
      <c r="B10" t="s">
        <v>110</v>
      </c>
    </row>
    <row r="15" spans="1:3">
      <c r="A15" s="5" t="s">
        <v>30</v>
      </c>
      <c r="B15" s="5"/>
      <c r="C15" s="69" t="s">
        <v>224</v>
      </c>
    </row>
    <row r="16" spans="1:3">
      <c r="A16" s="2" t="s">
        <v>145</v>
      </c>
      <c r="B16" t="s">
        <v>35</v>
      </c>
      <c r="C16" s="7" t="b">
        <v>0</v>
      </c>
    </row>
    <row r="17" spans="1:3">
      <c r="A17" s="6" t="s">
        <v>38</v>
      </c>
      <c r="B17" t="s">
        <v>173</v>
      </c>
      <c r="C17" s="7" t="b">
        <v>1</v>
      </c>
    </row>
    <row r="18" spans="1:3">
      <c r="A18" s="6" t="s">
        <v>41</v>
      </c>
      <c r="B18" t="s">
        <v>50</v>
      </c>
      <c r="C18" s="7" t="b">
        <v>1</v>
      </c>
    </row>
    <row r="19" spans="1:3">
      <c r="A19" s="6" t="s">
        <v>52</v>
      </c>
      <c r="B19" t="s">
        <v>53</v>
      </c>
      <c r="C19" s="7" t="b">
        <v>0</v>
      </c>
    </row>
    <row r="20" spans="1:3">
      <c r="A20" s="2" t="s">
        <v>145</v>
      </c>
      <c r="B20" t="s">
        <v>63</v>
      </c>
      <c r="C20" s="7" t="b">
        <v>1</v>
      </c>
    </row>
    <row r="21" spans="1:3">
      <c r="A21" s="2" t="s">
        <v>43</v>
      </c>
      <c r="B21" t="s">
        <v>147</v>
      </c>
      <c r="C21" s="7" t="b">
        <v>0</v>
      </c>
    </row>
    <row r="22" spans="1:3">
      <c r="A22" s="5" t="s">
        <v>36</v>
      </c>
      <c r="B22" s="5"/>
      <c r="C22" s="5"/>
    </row>
    <row r="23" spans="1:3">
      <c r="A23" s="6" t="s">
        <v>41</v>
      </c>
      <c r="B23" t="s">
        <v>54</v>
      </c>
      <c r="C23" s="7" t="b">
        <v>0</v>
      </c>
    </row>
    <row r="26" spans="1:3">
      <c r="A26" s="6" t="s">
        <v>106</v>
      </c>
    </row>
  </sheetData>
  <mergeCells count="1">
    <mergeCell ref="A1:B1"/>
  </mergeCells>
  <pageMargins left="0.25" right="0.25" top="0.75" bottom="0.75" header="0.3" footer="0.3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582D-019F-414D-B8D4-C3D8BC92F151}">
  <sheetPr>
    <pageSetUpPr fitToPage="1"/>
  </sheetPr>
  <dimension ref="A1:C46"/>
  <sheetViews>
    <sheetView workbookViewId="0">
      <selection activeCell="C28" sqref="C28"/>
    </sheetView>
  </sheetViews>
  <sheetFormatPr defaultRowHeight="14.4"/>
  <cols>
    <col min="1" max="1" width="31" customWidth="1"/>
    <col min="2" max="2" width="116.88671875" customWidth="1"/>
    <col min="3" max="3" width="23.6640625" customWidth="1"/>
  </cols>
  <sheetData>
    <row r="1" spans="1:3">
      <c r="A1" s="215" t="s">
        <v>160</v>
      </c>
      <c r="B1" s="214"/>
      <c r="C1" s="5"/>
    </row>
    <row r="3" spans="1:3">
      <c r="A3" s="2" t="s">
        <v>10</v>
      </c>
      <c r="B3" t="s">
        <v>74</v>
      </c>
    </row>
    <row r="4" spans="1:3">
      <c r="A4" s="2" t="s">
        <v>11</v>
      </c>
      <c r="B4" t="s">
        <v>65</v>
      </c>
    </row>
    <row r="5" spans="1:3">
      <c r="A5" s="2" t="s">
        <v>12</v>
      </c>
      <c r="B5" t="s">
        <v>68</v>
      </c>
    </row>
    <row r="6" spans="1:3">
      <c r="A6" s="2" t="s">
        <v>13</v>
      </c>
      <c r="B6" t="s">
        <v>69</v>
      </c>
    </row>
    <row r="7" spans="1:3">
      <c r="A7" s="2" t="s">
        <v>14</v>
      </c>
      <c r="B7" t="s">
        <v>69</v>
      </c>
    </row>
    <row r="8" spans="1:3">
      <c r="A8" s="2" t="s">
        <v>15</v>
      </c>
      <c r="B8" t="s">
        <v>69</v>
      </c>
    </row>
    <row r="9" spans="1:3">
      <c r="A9" s="2" t="s">
        <v>16</v>
      </c>
    </row>
    <row r="10" spans="1:3">
      <c r="A10" s="2" t="s">
        <v>6</v>
      </c>
      <c r="B10" t="s">
        <v>110</v>
      </c>
    </row>
    <row r="15" spans="1:3">
      <c r="A15" s="5" t="s">
        <v>62</v>
      </c>
      <c r="B15" s="5"/>
      <c r="C15" s="69" t="s">
        <v>182</v>
      </c>
    </row>
    <row r="16" spans="1:3">
      <c r="A16" s="2" t="s">
        <v>145</v>
      </c>
      <c r="B16" t="s">
        <v>111</v>
      </c>
      <c r="C16" s="7" t="b">
        <v>1</v>
      </c>
    </row>
    <row r="17" spans="1:3">
      <c r="A17" s="6" t="s">
        <v>38</v>
      </c>
      <c r="B17" t="s">
        <v>55</v>
      </c>
      <c r="C17" s="7" t="b">
        <v>1</v>
      </c>
    </row>
    <row r="18" spans="1:3">
      <c r="A18" s="6" t="s">
        <v>41</v>
      </c>
      <c r="B18" t="s">
        <v>56</v>
      </c>
      <c r="C18" s="7" t="b">
        <v>0</v>
      </c>
    </row>
    <row r="19" spans="1:3">
      <c r="A19" s="6" t="s">
        <v>59</v>
      </c>
      <c r="B19" t="s">
        <v>60</v>
      </c>
      <c r="C19" s="7" t="b">
        <v>0</v>
      </c>
    </row>
    <row r="20" spans="1:3">
      <c r="A20" s="2" t="s">
        <v>145</v>
      </c>
      <c r="B20" t="s">
        <v>61</v>
      </c>
      <c r="C20" s="7" t="b">
        <v>0</v>
      </c>
    </row>
    <row r="21" spans="1:3">
      <c r="A21" s="2" t="s">
        <v>43</v>
      </c>
      <c r="B21" t="s">
        <v>147</v>
      </c>
      <c r="C21" s="7" t="b">
        <v>0</v>
      </c>
    </row>
    <row r="22" spans="1:3">
      <c r="A22" s="5" t="s">
        <v>57</v>
      </c>
      <c r="B22" s="5"/>
      <c r="C22" s="5"/>
    </row>
    <row r="23" spans="1:3">
      <c r="A23" s="6" t="s">
        <v>58</v>
      </c>
      <c r="B23" t="s">
        <v>181</v>
      </c>
      <c r="C23" s="7" t="b">
        <v>0</v>
      </c>
    </row>
    <row r="25" spans="1:3">
      <c r="A25" s="8" t="s">
        <v>75</v>
      </c>
      <c r="B25" s="4"/>
      <c r="C25" s="4"/>
    </row>
    <row r="26" spans="1:3">
      <c r="A26" t="s">
        <v>76</v>
      </c>
      <c r="C26" s="7"/>
    </row>
    <row r="27" spans="1:3">
      <c r="A27" t="s">
        <v>162</v>
      </c>
      <c r="C27" s="7" t="b">
        <v>0</v>
      </c>
    </row>
    <row r="28" spans="1:3">
      <c r="A28" t="s">
        <v>161</v>
      </c>
      <c r="C28" s="7" t="b">
        <v>0</v>
      </c>
    </row>
    <row r="29" spans="1:3">
      <c r="A29" t="s">
        <v>225</v>
      </c>
      <c r="C29" s="7" t="b">
        <v>0</v>
      </c>
    </row>
    <row r="30" spans="1:3">
      <c r="A30" t="s">
        <v>163</v>
      </c>
      <c r="C30" s="7" t="b">
        <v>0</v>
      </c>
    </row>
    <row r="31" spans="1:3">
      <c r="A31" t="s">
        <v>164</v>
      </c>
      <c r="C31" s="7" t="b">
        <v>0</v>
      </c>
    </row>
    <row r="33" spans="1:3">
      <c r="A33" s="5" t="s">
        <v>77</v>
      </c>
      <c r="B33" s="4"/>
      <c r="C33" s="4"/>
    </row>
    <row r="34" spans="1:3">
      <c r="A34" t="s">
        <v>165</v>
      </c>
      <c r="C34" s="7" t="b">
        <v>0</v>
      </c>
    </row>
    <row r="35" spans="1:3">
      <c r="A35" t="s">
        <v>166</v>
      </c>
      <c r="C35" s="7" t="b">
        <v>0</v>
      </c>
    </row>
    <row r="36" spans="1:3">
      <c r="A36" t="s">
        <v>167</v>
      </c>
      <c r="C36" s="7" t="b">
        <v>0</v>
      </c>
    </row>
    <row r="38" spans="1:3">
      <c r="A38" s="9" t="s">
        <v>78</v>
      </c>
      <c r="B38" s="4"/>
      <c r="C38" s="4"/>
    </row>
    <row r="39" spans="1:3">
      <c r="A39" t="s">
        <v>79</v>
      </c>
    </row>
    <row r="40" spans="1:3">
      <c r="A40" t="s">
        <v>168</v>
      </c>
      <c r="C40" s="7" t="b">
        <v>0</v>
      </c>
    </row>
    <row r="41" spans="1:3">
      <c r="A41" t="s">
        <v>169</v>
      </c>
      <c r="C41" s="7" t="b">
        <v>0</v>
      </c>
    </row>
    <row r="42" spans="1:3">
      <c r="A42" t="s">
        <v>172</v>
      </c>
      <c r="C42" s="7" t="b">
        <v>0</v>
      </c>
    </row>
    <row r="44" spans="1:3">
      <c r="A44" s="5" t="s">
        <v>80</v>
      </c>
      <c r="B44" s="4"/>
      <c r="C44" s="4"/>
    </row>
    <row r="45" spans="1:3">
      <c r="A45" t="s">
        <v>170</v>
      </c>
      <c r="C45" s="7" t="b">
        <v>0</v>
      </c>
    </row>
    <row r="46" spans="1:3">
      <c r="A46" t="s">
        <v>171</v>
      </c>
      <c r="C46" s="7" t="b">
        <v>0</v>
      </c>
    </row>
  </sheetData>
  <mergeCells count="1">
    <mergeCell ref="A1:B1"/>
  </mergeCells>
  <pageMargins left="0.25" right="0.25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Training Tracker</vt:lpstr>
      <vt:lpstr>Training Overview</vt:lpstr>
      <vt:lpstr>Systems Access</vt:lpstr>
      <vt:lpstr>Day One</vt:lpstr>
      <vt:lpstr>Day Two</vt:lpstr>
      <vt:lpstr>Day Three</vt:lpstr>
      <vt:lpstr>Day Four</vt:lpstr>
      <vt:lpstr>Day Five</vt:lpstr>
      <vt:lpstr>Day Six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Caitlyn Hayden</cp:lastModifiedBy>
  <cp:lastPrinted>2026-05-08T20:44:19Z</cp:lastPrinted>
  <dcterms:created xsi:type="dcterms:W3CDTF">2026-03-28T22:18:40Z</dcterms:created>
  <dcterms:modified xsi:type="dcterms:W3CDTF">2026-08-21T00:43:43Z</dcterms:modified>
</cp:coreProperties>
</file>